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oogle Drive\Go Kitchen\Financeiro &amp; Contábil\"/>
    </mc:Choice>
  </mc:AlternateContent>
  <xr:revisionPtr revIDLastSave="0" documentId="13_ncr:1_{B5B10D75-FF0D-431D-A42F-F07B8E28E23E}" xr6:coauthVersionLast="47" xr6:coauthVersionMax="47" xr10:uidLastSave="{00000000-0000-0000-0000-000000000000}"/>
  <bookViews>
    <workbookView xWindow="-110" yWindow="-110" windowWidth="19420" windowHeight="10420" tabRatio="735" xr2:uid="{E9C32531-FC95-4727-96BE-B971D0D35A30}"/>
  </bookViews>
  <sheets>
    <sheet name="Dashboard" sheetId="5" r:id="rId1"/>
    <sheet name="DIN_mov" sheetId="15" state="hidden" r:id="rId2"/>
    <sheet name="Movimentação" sheetId="1" r:id="rId3"/>
    <sheet name="Orçamento" sheetId="21" r:id="rId4"/>
    <sheet name="Balanço" sheetId="20" r:id="rId5"/>
    <sheet name="Contratos" sheetId="9" r:id="rId6"/>
    <sheet name="Mapa Contratos" sheetId="10" r:id="rId7"/>
    <sheet name="Unidades" sheetId="6" r:id="rId8"/>
    <sheet name="Prazos" sheetId="12" r:id="rId9"/>
    <sheet name="Fornecedores" sheetId="13" r:id="rId10"/>
    <sheet name="RH" sheetId="17" r:id="rId11"/>
    <sheet name="Pagamentos Caio" sheetId="19" r:id="rId12"/>
    <sheet name="Listas" sheetId="4" state="hidden" r:id="rId13"/>
  </sheets>
  <definedNames>
    <definedName name="_xlnm._FilterDatabase" localSheetId="2" hidden="1">Movimentação!$A$2:$M$8</definedName>
    <definedName name="aportador">Listas!$W$3:$W$7</definedName>
    <definedName name="aporte">Listas!$O$1</definedName>
    <definedName name="aportes">Listas!$O$2:$O$4</definedName>
    <definedName name="_xlnm.Print_Area" localSheetId="0">Dashboard!$A$1:$Q$73</definedName>
    <definedName name="_xlnm.Print_Area" localSheetId="2">Movimentação!$A$1:$Q$331</definedName>
    <definedName name="cancelar">Listas!$M$2</definedName>
    <definedName name="consumo">Listas!$B$2:$B$5</definedName>
    <definedName name="despesa">Listas!$B$1:$I$1</definedName>
    <definedName name="empréstimo">Tabela9[Empréstimo]</definedName>
    <definedName name="Entrada">Listas!$Y$2:$Y$4</definedName>
    <definedName name="financeiro">Listas!$C$2:$C$4</definedName>
    <definedName name="fornecedor">Tabela8[Fornecedor]</definedName>
    <definedName name="funcionário">Tabela3[Funcionário]</definedName>
    <definedName name="imobiliário">Listas!$D$2:$D$4</definedName>
    <definedName name="impostos">Listas!$E$2:$E$6</definedName>
    <definedName name="Investidor">Tabela911[Investidor]</definedName>
    <definedName name="kitchen">Listas!$W$2</definedName>
    <definedName name="manutenção">Listas!$F$2:$F$8</definedName>
    <definedName name="negócio">Tabela6[Negócio]</definedName>
    <definedName name="Outros">Listas!$R$6</definedName>
    <definedName name="pagador">Listas!$W$2:$W$5</definedName>
    <definedName name="pagamento">Listas!$K$2:$K$7</definedName>
    <definedName name="receita">Listas!$Q$1</definedName>
    <definedName name="receitas">Listas!$Q$2:$Q$12</definedName>
    <definedName name="reforma">Listas!$G$2:$G$4</definedName>
    <definedName name="rh">Listas!$H$2:$H$12</definedName>
    <definedName name="serviços">Listas!$I$2:$I$6</definedName>
    <definedName name="Sócio">Dashboard!$C$65:$E$65</definedName>
    <definedName name="tipo_pagamento">Listas!$O$2:$O$3</definedName>
    <definedName name="unidade">Tabela_Unidades[Unidade]</definedName>
  </definedNames>
  <calcPr calcId="191029"/>
  <pivotCaches>
    <pivotCache cacheId="28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1" i="1" l="1"/>
  <c r="B361" i="1"/>
  <c r="Q361" i="1"/>
  <c r="T361" i="1" s="1"/>
  <c r="R361" i="1"/>
  <c r="S361" i="1"/>
  <c r="A360" i="1"/>
  <c r="B360" i="1"/>
  <c r="Q360" i="1"/>
  <c r="T360" i="1" s="1"/>
  <c r="R360" i="1"/>
  <c r="S360" i="1"/>
  <c r="A359" i="1"/>
  <c r="B359" i="1"/>
  <c r="Q359" i="1"/>
  <c r="T359" i="1" s="1"/>
  <c r="R359" i="1"/>
  <c r="S359" i="1"/>
  <c r="A358" i="1"/>
  <c r="B358" i="1"/>
  <c r="Q358" i="1"/>
  <c r="U358" i="1" s="1"/>
  <c r="R358" i="1"/>
  <c r="S358" i="1"/>
  <c r="A357" i="1"/>
  <c r="B357" i="1"/>
  <c r="Q357" i="1"/>
  <c r="U357" i="1" s="1"/>
  <c r="R357" i="1"/>
  <c r="S357" i="1"/>
  <c r="A356" i="1"/>
  <c r="B356" i="1"/>
  <c r="Q356" i="1"/>
  <c r="T356" i="1" s="1"/>
  <c r="R356" i="1"/>
  <c r="S356" i="1"/>
  <c r="A355" i="1"/>
  <c r="B355" i="1"/>
  <c r="Q355" i="1"/>
  <c r="U355" i="1" s="1"/>
  <c r="R355" i="1"/>
  <c r="S355" i="1"/>
  <c r="A354" i="1"/>
  <c r="B354" i="1"/>
  <c r="Q354" i="1"/>
  <c r="T354" i="1" s="1"/>
  <c r="R354" i="1"/>
  <c r="S354" i="1"/>
  <c r="A353" i="1"/>
  <c r="B353" i="1"/>
  <c r="Q353" i="1"/>
  <c r="T353" i="1" s="1"/>
  <c r="R353" i="1"/>
  <c r="S353" i="1"/>
  <c r="A352" i="1"/>
  <c r="B352" i="1"/>
  <c r="Q352" i="1"/>
  <c r="T352" i="1" s="1"/>
  <c r="R352" i="1"/>
  <c r="S352" i="1"/>
  <c r="A351" i="1"/>
  <c r="B351" i="1"/>
  <c r="R351" i="1"/>
  <c r="Q351" i="1" s="1"/>
  <c r="T351" i="1" s="1"/>
  <c r="S351" i="1"/>
  <c r="A350" i="1"/>
  <c r="B350" i="1"/>
  <c r="Q350" i="1"/>
  <c r="T350" i="1" s="1"/>
  <c r="R350" i="1"/>
  <c r="S350" i="1"/>
  <c r="A349" i="1"/>
  <c r="B349" i="1"/>
  <c r="Q349" i="1"/>
  <c r="T349" i="1" s="1"/>
  <c r="R349" i="1"/>
  <c r="S349" i="1"/>
  <c r="A348" i="1"/>
  <c r="B348" i="1"/>
  <c r="Q348" i="1"/>
  <c r="V348" i="1" s="1"/>
  <c r="R348" i="1"/>
  <c r="S348" i="1"/>
  <c r="A347" i="1"/>
  <c r="B347" i="1"/>
  <c r="Q347" i="1"/>
  <c r="T347" i="1" s="1"/>
  <c r="R347" i="1"/>
  <c r="S347" i="1"/>
  <c r="A346" i="1"/>
  <c r="B346" i="1"/>
  <c r="Q346" i="1"/>
  <c r="T346" i="1" s="1"/>
  <c r="R346" i="1"/>
  <c r="S346" i="1"/>
  <c r="A345" i="1"/>
  <c r="B345" i="1"/>
  <c r="R345" i="1"/>
  <c r="Q345" i="1" s="1"/>
  <c r="T345" i="1" s="1"/>
  <c r="S345" i="1"/>
  <c r="A344" i="1"/>
  <c r="B344" i="1"/>
  <c r="Q344" i="1"/>
  <c r="T344" i="1" s="1"/>
  <c r="R344" i="1"/>
  <c r="S344" i="1"/>
  <c r="A343" i="1"/>
  <c r="B343" i="1"/>
  <c r="Q343" i="1"/>
  <c r="T343" i="1" s="1"/>
  <c r="R343" i="1"/>
  <c r="S343" i="1"/>
  <c r="A342" i="1"/>
  <c r="B342" i="1"/>
  <c r="Q342" i="1"/>
  <c r="T342" i="1" s="1"/>
  <c r="R342" i="1"/>
  <c r="S342" i="1"/>
  <c r="A341" i="1"/>
  <c r="B341" i="1"/>
  <c r="Q341" i="1"/>
  <c r="T341" i="1" s="1"/>
  <c r="R341" i="1"/>
  <c r="S341" i="1"/>
  <c r="A340" i="1"/>
  <c r="B340" i="1"/>
  <c r="Q340" i="1"/>
  <c r="T340" i="1" s="1"/>
  <c r="R340" i="1"/>
  <c r="S340" i="1"/>
  <c r="A339" i="1"/>
  <c r="B339" i="1"/>
  <c r="R339" i="1"/>
  <c r="Q339" i="1" s="1"/>
  <c r="U339" i="1" s="1"/>
  <c r="S339" i="1"/>
  <c r="A338" i="1"/>
  <c r="B338" i="1"/>
  <c r="Q338" i="1"/>
  <c r="T338" i="1" s="1"/>
  <c r="R338" i="1"/>
  <c r="S338" i="1"/>
  <c r="A337" i="1"/>
  <c r="B337" i="1"/>
  <c r="R337" i="1"/>
  <c r="Q337" i="1" s="1"/>
  <c r="T337" i="1" s="1"/>
  <c r="S337" i="1"/>
  <c r="A336" i="1"/>
  <c r="B336" i="1"/>
  <c r="Q336" i="1"/>
  <c r="T336" i="1" s="1"/>
  <c r="R336" i="1"/>
  <c r="S336" i="1"/>
  <c r="P34" i="21"/>
  <c r="A335" i="1"/>
  <c r="B335" i="1"/>
  <c r="R335" i="1"/>
  <c r="Q335" i="1" s="1"/>
  <c r="U335" i="1" s="1"/>
  <c r="S335" i="1"/>
  <c r="A334" i="1"/>
  <c r="B334" i="1"/>
  <c r="R334" i="1"/>
  <c r="Q334" i="1" s="1"/>
  <c r="T334" i="1" s="1"/>
  <c r="S334" i="1"/>
  <c r="B253" i="1"/>
  <c r="B249" i="1"/>
  <c r="A332" i="1"/>
  <c r="A333" i="1"/>
  <c r="B332" i="1"/>
  <c r="B333" i="1"/>
  <c r="R332" i="1"/>
  <c r="Q332" i="1" s="1"/>
  <c r="R333" i="1"/>
  <c r="Q333" i="1" s="1"/>
  <c r="T333" i="1" s="1"/>
  <c r="S332" i="1"/>
  <c r="S333" i="1"/>
  <c r="Z3" i="10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50" i="1"/>
  <c r="B251" i="1"/>
  <c r="B252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A331" i="1"/>
  <c r="R331" i="1"/>
  <c r="Q331" i="1" s="1"/>
  <c r="U331" i="1" s="1"/>
  <c r="A329" i="1"/>
  <c r="A330" i="1"/>
  <c r="R330" i="1"/>
  <c r="Q330" i="1" s="1"/>
  <c r="U330" i="1" s="1"/>
  <c r="A328" i="1"/>
  <c r="Q328" i="1"/>
  <c r="U328" i="1" s="1"/>
  <c r="Q329" i="1"/>
  <c r="U329" i="1" s="1"/>
  <c r="R328" i="1"/>
  <c r="R329" i="1"/>
  <c r="A327" i="1"/>
  <c r="Q327" i="1"/>
  <c r="U327" i="1" s="1"/>
  <c r="R327" i="1"/>
  <c r="A326" i="1"/>
  <c r="Q326" i="1"/>
  <c r="U326" i="1" s="1"/>
  <c r="R326" i="1"/>
  <c r="A325" i="1"/>
  <c r="R325" i="1"/>
  <c r="Q325" i="1" s="1"/>
  <c r="U325" i="1" s="1"/>
  <c r="A324" i="1"/>
  <c r="Q324" i="1"/>
  <c r="U324" i="1" s="1"/>
  <c r="R324" i="1"/>
  <c r="A323" i="1"/>
  <c r="Q323" i="1"/>
  <c r="U323" i="1" s="1"/>
  <c r="R323" i="1"/>
  <c r="A322" i="1"/>
  <c r="Q322" i="1"/>
  <c r="U322" i="1" s="1"/>
  <c r="R322" i="1"/>
  <c r="A321" i="1"/>
  <c r="R321" i="1"/>
  <c r="Q321" i="1" s="1"/>
  <c r="U321" i="1" s="1"/>
  <c r="A320" i="1"/>
  <c r="R320" i="1"/>
  <c r="Q320" i="1" s="1"/>
  <c r="U320" i="1" s="1"/>
  <c r="A319" i="1"/>
  <c r="Q319" i="1"/>
  <c r="U319" i="1" s="1"/>
  <c r="R319" i="1"/>
  <c r="A318" i="1"/>
  <c r="Q318" i="1"/>
  <c r="U318" i="1" s="1"/>
  <c r="R318" i="1"/>
  <c r="A317" i="1"/>
  <c r="Q317" i="1"/>
  <c r="U317" i="1" s="1"/>
  <c r="R317" i="1"/>
  <c r="A316" i="1"/>
  <c r="Q316" i="1"/>
  <c r="U316" i="1" s="1"/>
  <c r="R316" i="1"/>
  <c r="A314" i="1"/>
  <c r="A315" i="1"/>
  <c r="Q314" i="1"/>
  <c r="U314" i="1" s="1"/>
  <c r="Q315" i="1"/>
  <c r="U315" i="1" s="1"/>
  <c r="R314" i="1"/>
  <c r="R315" i="1"/>
  <c r="A312" i="1"/>
  <c r="A313" i="1"/>
  <c r="R312" i="1"/>
  <c r="Q312" i="1" s="1"/>
  <c r="U312" i="1" s="1"/>
  <c r="R313" i="1"/>
  <c r="Q313" i="1" s="1"/>
  <c r="U313" i="1" s="1"/>
  <c r="A311" i="1"/>
  <c r="R311" i="1"/>
  <c r="Q311" i="1" s="1"/>
  <c r="U311" i="1" s="1"/>
  <c r="A310" i="1"/>
  <c r="R310" i="1"/>
  <c r="Q310" i="1" s="1"/>
  <c r="U310" i="1" s="1"/>
  <c r="A309" i="1"/>
  <c r="R309" i="1"/>
  <c r="Q309" i="1" s="1"/>
  <c r="U309" i="1" s="1"/>
  <c r="A308" i="1"/>
  <c r="R308" i="1"/>
  <c r="Q308" i="1" s="1"/>
  <c r="U308" i="1" s="1"/>
  <c r="A307" i="1"/>
  <c r="Q307" i="1"/>
  <c r="U307" i="1" s="1"/>
  <c r="R307" i="1"/>
  <c r="A306" i="1"/>
  <c r="Q306" i="1"/>
  <c r="U306" i="1" s="1"/>
  <c r="R306" i="1"/>
  <c r="A305" i="1"/>
  <c r="Q305" i="1"/>
  <c r="U305" i="1" s="1"/>
  <c r="R305" i="1"/>
  <c r="A304" i="1"/>
  <c r="Q304" i="1"/>
  <c r="U304" i="1" s="1"/>
  <c r="R304" i="1"/>
  <c r="A303" i="1"/>
  <c r="R303" i="1"/>
  <c r="Q303" i="1" s="1"/>
  <c r="U303" i="1" s="1"/>
  <c r="A301" i="1"/>
  <c r="A302" i="1"/>
  <c r="Q301" i="1"/>
  <c r="U301" i="1" s="1"/>
  <c r="Q302" i="1"/>
  <c r="U302" i="1" s="1"/>
  <c r="R301" i="1"/>
  <c r="R302" i="1"/>
  <c r="G54" i="19"/>
  <c r="A297" i="1"/>
  <c r="A298" i="1"/>
  <c r="A299" i="1"/>
  <c r="A300" i="1"/>
  <c r="Q297" i="1"/>
  <c r="U297" i="1" s="1"/>
  <c r="Q298" i="1"/>
  <c r="U298" i="1" s="1"/>
  <c r="Q299" i="1"/>
  <c r="U299" i="1" s="1"/>
  <c r="Q300" i="1"/>
  <c r="U300" i="1" s="1"/>
  <c r="R297" i="1"/>
  <c r="R298" i="1"/>
  <c r="R299" i="1"/>
  <c r="R300" i="1"/>
  <c r="A296" i="1"/>
  <c r="Q296" i="1"/>
  <c r="U296" i="1" s="1"/>
  <c r="R296" i="1"/>
  <c r="A295" i="1"/>
  <c r="Q295" i="1"/>
  <c r="U295" i="1" s="1"/>
  <c r="R295" i="1"/>
  <c r="A293" i="1"/>
  <c r="A294" i="1"/>
  <c r="R293" i="1"/>
  <c r="Q293" i="1" s="1"/>
  <c r="U293" i="1" s="1"/>
  <c r="R294" i="1"/>
  <c r="Q294" i="1" s="1"/>
  <c r="U294" i="1" s="1"/>
  <c r="A292" i="1"/>
  <c r="Q292" i="1"/>
  <c r="U292" i="1" s="1"/>
  <c r="R292" i="1"/>
  <c r="A291" i="1"/>
  <c r="Q291" i="1"/>
  <c r="U291" i="1" s="1"/>
  <c r="R291" i="1"/>
  <c r="A290" i="1"/>
  <c r="R290" i="1"/>
  <c r="Q290" i="1" s="1"/>
  <c r="U290" i="1" s="1"/>
  <c r="A289" i="1"/>
  <c r="R289" i="1"/>
  <c r="Q289" i="1" s="1"/>
  <c r="T289" i="1" s="1"/>
  <c r="A288" i="1"/>
  <c r="R288" i="1"/>
  <c r="Q288" i="1" s="1"/>
  <c r="T288" i="1" s="1"/>
  <c r="A287" i="1"/>
  <c r="R287" i="1"/>
  <c r="Q287" i="1" s="1"/>
  <c r="T287" i="1" s="1"/>
  <c r="A286" i="1"/>
  <c r="R286" i="1"/>
  <c r="Q286" i="1" s="1"/>
  <c r="U286" i="1" s="1"/>
  <c r="A285" i="1"/>
  <c r="Q285" i="1"/>
  <c r="U285" i="1" s="1"/>
  <c r="R285" i="1"/>
  <c r="A284" i="1"/>
  <c r="Q284" i="1"/>
  <c r="U284" i="1" s="1"/>
  <c r="R284" i="1"/>
  <c r="A283" i="1"/>
  <c r="Q283" i="1"/>
  <c r="U283" i="1" s="1"/>
  <c r="R283" i="1"/>
  <c r="A281" i="1"/>
  <c r="A282" i="1"/>
  <c r="Q282" i="1"/>
  <c r="U282" i="1" s="1"/>
  <c r="R281" i="1"/>
  <c r="Q281" i="1" s="1"/>
  <c r="U281" i="1" s="1"/>
  <c r="R282" i="1"/>
  <c r="A279" i="1"/>
  <c r="A280" i="1"/>
  <c r="Q279" i="1"/>
  <c r="U279" i="1" s="1"/>
  <c r="Q280" i="1"/>
  <c r="U280" i="1" s="1"/>
  <c r="R279" i="1"/>
  <c r="R280" i="1"/>
  <c r="A277" i="1"/>
  <c r="A278" i="1"/>
  <c r="Q277" i="1"/>
  <c r="U277" i="1" s="1"/>
  <c r="Q278" i="1"/>
  <c r="U278" i="1" s="1"/>
  <c r="R277" i="1"/>
  <c r="R278" i="1"/>
  <c r="A275" i="1"/>
  <c r="A276" i="1"/>
  <c r="R275" i="1"/>
  <c r="Q275" i="1" s="1"/>
  <c r="U275" i="1" s="1"/>
  <c r="R276" i="1"/>
  <c r="Q276" i="1" s="1"/>
  <c r="U276" i="1" s="1"/>
  <c r="A273" i="1"/>
  <c r="A274" i="1"/>
  <c r="R273" i="1"/>
  <c r="Q273" i="1" s="1"/>
  <c r="U273" i="1" s="1"/>
  <c r="R274" i="1"/>
  <c r="Q274" i="1" s="1"/>
  <c r="U274" i="1" s="1"/>
  <c r="A272" i="1"/>
  <c r="R272" i="1"/>
  <c r="Q272" i="1" s="1"/>
  <c r="U272" i="1" s="1"/>
  <c r="A271" i="1"/>
  <c r="Q271" i="1"/>
  <c r="U271" i="1" s="1"/>
  <c r="R271" i="1"/>
  <c r="A270" i="1"/>
  <c r="Q270" i="1"/>
  <c r="U270" i="1" s="1"/>
  <c r="R270" i="1"/>
  <c r="A269" i="1"/>
  <c r="R269" i="1"/>
  <c r="Q269" i="1" s="1"/>
  <c r="T269" i="1" s="1"/>
  <c r="A268" i="1"/>
  <c r="R268" i="1"/>
  <c r="Q268" i="1" s="1"/>
  <c r="T268" i="1" s="1"/>
  <c r="A267" i="1"/>
  <c r="R267" i="1"/>
  <c r="Q267" i="1" s="1"/>
  <c r="U267" i="1" s="1"/>
  <c r="A266" i="1"/>
  <c r="R266" i="1"/>
  <c r="Q266" i="1" s="1"/>
  <c r="U266" i="1" s="1"/>
  <c r="A265" i="1"/>
  <c r="R265" i="1"/>
  <c r="Q265" i="1" s="1"/>
  <c r="U265" i="1" s="1"/>
  <c r="A263" i="1"/>
  <c r="A264" i="1"/>
  <c r="Q264" i="1"/>
  <c r="U264" i="1" s="1"/>
  <c r="R263" i="1"/>
  <c r="Q263" i="1" s="1"/>
  <c r="U263" i="1" s="1"/>
  <c r="R264" i="1"/>
  <c r="A261" i="1"/>
  <c r="A262" i="1"/>
  <c r="Q261" i="1"/>
  <c r="U261" i="1" s="1"/>
  <c r="Q262" i="1"/>
  <c r="U262" i="1" s="1"/>
  <c r="R261" i="1"/>
  <c r="R262" i="1"/>
  <c r="A259" i="1"/>
  <c r="A260" i="1"/>
  <c r="Q259" i="1"/>
  <c r="U259" i="1" s="1"/>
  <c r="Q260" i="1"/>
  <c r="U260" i="1" s="1"/>
  <c r="R259" i="1"/>
  <c r="R260" i="1"/>
  <c r="A257" i="1"/>
  <c r="A258" i="1"/>
  <c r="Q257" i="1"/>
  <c r="U257" i="1" s="1"/>
  <c r="Q258" i="1"/>
  <c r="U258" i="1" s="1"/>
  <c r="R257" i="1"/>
  <c r="R258" i="1"/>
  <c r="A251" i="1"/>
  <c r="A252" i="1"/>
  <c r="Q251" i="1"/>
  <c r="U251" i="1" s="1"/>
  <c r="Q252" i="1"/>
  <c r="U252" i="1" s="1"/>
  <c r="R251" i="1"/>
  <c r="R252" i="1"/>
  <c r="A256" i="1"/>
  <c r="Q256" i="1"/>
  <c r="V256" i="1" s="1"/>
  <c r="R256" i="1"/>
  <c r="A255" i="1"/>
  <c r="Q255" i="1"/>
  <c r="V255" i="1" s="1"/>
  <c r="R255" i="1"/>
  <c r="A253" i="1"/>
  <c r="A254" i="1"/>
  <c r="Q253" i="1"/>
  <c r="U253" i="1" s="1"/>
  <c r="Q254" i="1"/>
  <c r="U254" i="1" s="1"/>
  <c r="R253" i="1"/>
  <c r="R254" i="1"/>
  <c r="A249" i="1"/>
  <c r="A250" i="1"/>
  <c r="Q249" i="1"/>
  <c r="U249" i="1" s="1"/>
  <c r="Q250" i="1"/>
  <c r="U250" i="1" s="1"/>
  <c r="R249" i="1"/>
  <c r="R250" i="1"/>
  <c r="A248" i="1"/>
  <c r="Q248" i="1"/>
  <c r="V248" i="1" s="1"/>
  <c r="R248" i="1"/>
  <c r="A247" i="1"/>
  <c r="Q247" i="1"/>
  <c r="U247" i="1" s="1"/>
  <c r="R247" i="1"/>
  <c r="A246" i="1"/>
  <c r="R246" i="1"/>
  <c r="Q246" i="1" s="1"/>
  <c r="U246" i="1" s="1"/>
  <c r="A245" i="1"/>
  <c r="R245" i="1"/>
  <c r="Q245" i="1" s="1"/>
  <c r="U245" i="1" s="1"/>
  <c r="A244" i="1"/>
  <c r="R244" i="1"/>
  <c r="Q244" i="1" s="1"/>
  <c r="V244" i="1" s="1"/>
  <c r="A243" i="1"/>
  <c r="R243" i="1"/>
  <c r="Q243" i="1" s="1"/>
  <c r="U243" i="1" s="1"/>
  <c r="A242" i="1"/>
  <c r="R242" i="1"/>
  <c r="Q242" i="1" s="1"/>
  <c r="U242" i="1" s="1"/>
  <c r="A241" i="1"/>
  <c r="R241" i="1"/>
  <c r="Q241" i="1" s="1"/>
  <c r="U241" i="1" s="1"/>
  <c r="A240" i="1"/>
  <c r="R240" i="1"/>
  <c r="Q240" i="1" s="1"/>
  <c r="U240" i="1" s="1"/>
  <c r="A239" i="1"/>
  <c r="R239" i="1"/>
  <c r="Q239" i="1" s="1"/>
  <c r="U239" i="1" s="1"/>
  <c r="A238" i="1"/>
  <c r="R238" i="1"/>
  <c r="Q238" i="1" s="1"/>
  <c r="U238" i="1" s="1"/>
  <c r="A237" i="1"/>
  <c r="R237" i="1"/>
  <c r="Q237" i="1" s="1"/>
  <c r="U237" i="1" s="1"/>
  <c r="A236" i="1"/>
  <c r="R236" i="1"/>
  <c r="Q236" i="1" s="1"/>
  <c r="U236" i="1" s="1"/>
  <c r="A235" i="1"/>
  <c r="R235" i="1"/>
  <c r="Q235" i="1" s="1"/>
  <c r="U235" i="1" s="1"/>
  <c r="A233" i="1"/>
  <c r="A234" i="1"/>
  <c r="Q233" i="1"/>
  <c r="U233" i="1" s="1"/>
  <c r="Q234" i="1"/>
  <c r="U234" i="1" s="1"/>
  <c r="R233" i="1"/>
  <c r="R234" i="1"/>
  <c r="A231" i="1"/>
  <c r="A232" i="1"/>
  <c r="Q231" i="1"/>
  <c r="U231" i="1" s="1"/>
  <c r="Q232" i="1"/>
  <c r="U232" i="1" s="1"/>
  <c r="R231" i="1"/>
  <c r="R232" i="1"/>
  <c r="A229" i="1"/>
  <c r="A230" i="1"/>
  <c r="R229" i="1"/>
  <c r="Q229" i="1" s="1"/>
  <c r="U229" i="1" s="1"/>
  <c r="R230" i="1"/>
  <c r="Q230" i="1" s="1"/>
  <c r="U230" i="1" s="1"/>
  <c r="A227" i="1"/>
  <c r="A228" i="1"/>
  <c r="Q227" i="1"/>
  <c r="U227" i="1" s="1"/>
  <c r="Q228" i="1"/>
  <c r="U228" i="1" s="1"/>
  <c r="R227" i="1"/>
  <c r="R228" i="1"/>
  <c r="A225" i="1"/>
  <c r="A226" i="1"/>
  <c r="Q225" i="1"/>
  <c r="U225" i="1" s="1"/>
  <c r="Q226" i="1"/>
  <c r="U226" i="1" s="1"/>
  <c r="R225" i="1"/>
  <c r="R226" i="1"/>
  <c r="A224" i="1"/>
  <c r="R224" i="1"/>
  <c r="Q224" i="1" s="1"/>
  <c r="U224" i="1" s="1"/>
  <c r="A223" i="1"/>
  <c r="R223" i="1"/>
  <c r="Q223" i="1" s="1"/>
  <c r="U223" i="1" s="1"/>
  <c r="A221" i="1"/>
  <c r="A222" i="1"/>
  <c r="Q221" i="1"/>
  <c r="U221" i="1" s="1"/>
  <c r="Q222" i="1"/>
  <c r="U222" i="1" s="1"/>
  <c r="R221" i="1"/>
  <c r="R222" i="1"/>
  <c r="A220" i="1"/>
  <c r="Q220" i="1"/>
  <c r="U220" i="1" s="1"/>
  <c r="R220" i="1"/>
  <c r="A219" i="1"/>
  <c r="Q219" i="1"/>
  <c r="U219" i="1" s="1"/>
  <c r="R219" i="1"/>
  <c r="A218" i="1"/>
  <c r="Q218" i="1"/>
  <c r="U218" i="1" s="1"/>
  <c r="R218" i="1"/>
  <c r="A216" i="1"/>
  <c r="A217" i="1"/>
  <c r="Q216" i="1"/>
  <c r="U216" i="1" s="1"/>
  <c r="Q217" i="1"/>
  <c r="U217" i="1" s="1"/>
  <c r="R216" i="1"/>
  <c r="R217" i="1"/>
  <c r="A215" i="1"/>
  <c r="Q215" i="1"/>
  <c r="U215" i="1" s="1"/>
  <c r="R215" i="1"/>
  <c r="A214" i="1"/>
  <c r="Q214" i="1"/>
  <c r="U214" i="1" s="1"/>
  <c r="R214" i="1"/>
  <c r="F32" i="19"/>
  <c r="H5" i="19"/>
  <c r="I30" i="19" s="1"/>
  <c r="G5" i="19"/>
  <c r="V361" i="1" l="1"/>
  <c r="U361" i="1"/>
  <c r="V360" i="1"/>
  <c r="U360" i="1"/>
  <c r="V359" i="1"/>
  <c r="U359" i="1"/>
  <c r="T358" i="1"/>
  <c r="V358" i="1"/>
  <c r="V357" i="1"/>
  <c r="T357" i="1"/>
  <c r="V356" i="1"/>
  <c r="U356" i="1"/>
  <c r="V355" i="1"/>
  <c r="T355" i="1"/>
  <c r="U354" i="1"/>
  <c r="V354" i="1"/>
  <c r="V353" i="1"/>
  <c r="U353" i="1"/>
  <c r="U352" i="1"/>
  <c r="V352" i="1"/>
  <c r="U351" i="1"/>
  <c r="V351" i="1"/>
  <c r="U350" i="1"/>
  <c r="V350" i="1"/>
  <c r="V349" i="1"/>
  <c r="U349" i="1"/>
  <c r="T348" i="1"/>
  <c r="U348" i="1"/>
  <c r="V347" i="1"/>
  <c r="U347" i="1"/>
  <c r="V346" i="1"/>
  <c r="U346" i="1"/>
  <c r="U345" i="1"/>
  <c r="V345" i="1"/>
  <c r="V344" i="1"/>
  <c r="U344" i="1"/>
  <c r="V343" i="1"/>
  <c r="U343" i="1"/>
  <c r="V341" i="1"/>
  <c r="V342" i="1"/>
  <c r="U341" i="1"/>
  <c r="U342" i="1"/>
  <c r="V340" i="1"/>
  <c r="U340" i="1"/>
  <c r="V339" i="1"/>
  <c r="T339" i="1"/>
  <c r="V338" i="1"/>
  <c r="U338" i="1"/>
  <c r="U337" i="1"/>
  <c r="U336" i="1"/>
  <c r="V336" i="1"/>
  <c r="V337" i="1"/>
  <c r="V335" i="1"/>
  <c r="T335" i="1"/>
  <c r="V334" i="1"/>
  <c r="U334" i="1"/>
  <c r="T332" i="1"/>
  <c r="U332" i="1"/>
  <c r="V332" i="1"/>
  <c r="U333" i="1"/>
  <c r="V333" i="1"/>
  <c r="T310" i="1"/>
  <c r="T291" i="1"/>
  <c r="T286" i="1"/>
  <c r="T324" i="1"/>
  <c r="T280" i="1"/>
  <c r="T319" i="1"/>
  <c r="T278" i="1"/>
  <c r="T317" i="1"/>
  <c r="T276" i="1"/>
  <c r="T312" i="1"/>
  <c r="T270" i="1"/>
  <c r="T294" i="1"/>
  <c r="T244" i="1"/>
  <c r="T330" i="1"/>
  <c r="T322" i="1"/>
  <c r="T314" i="1"/>
  <c r="T306" i="1"/>
  <c r="T298" i="1"/>
  <c r="T290" i="1"/>
  <c r="T282" i="1"/>
  <c r="T274" i="1"/>
  <c r="T266" i="1"/>
  <c r="T258" i="1"/>
  <c r="T250" i="1"/>
  <c r="T242" i="1"/>
  <c r="T234" i="1"/>
  <c r="T226" i="1"/>
  <c r="T218" i="1"/>
  <c r="T329" i="1"/>
  <c r="T321" i="1"/>
  <c r="T313" i="1"/>
  <c r="T305" i="1"/>
  <c r="T297" i="1"/>
  <c r="T281" i="1"/>
  <c r="T273" i="1"/>
  <c r="T265" i="1"/>
  <c r="T257" i="1"/>
  <c r="T249" i="1"/>
  <c r="T241" i="1"/>
  <c r="T233" i="1"/>
  <c r="T225" i="1"/>
  <c r="T217" i="1"/>
  <c r="T328" i="1"/>
  <c r="T320" i="1"/>
  <c r="T304" i="1"/>
  <c r="T296" i="1"/>
  <c r="T272" i="1"/>
  <c r="T264" i="1"/>
  <c r="T256" i="1"/>
  <c r="T248" i="1"/>
  <c r="T240" i="1"/>
  <c r="T232" i="1"/>
  <c r="T224" i="1"/>
  <c r="T216" i="1"/>
  <c r="T327" i="1"/>
  <c r="T311" i="1"/>
  <c r="T303" i="1"/>
  <c r="T295" i="1"/>
  <c r="T279" i="1"/>
  <c r="T271" i="1"/>
  <c r="T263" i="1"/>
  <c r="T255" i="1"/>
  <c r="T247" i="1"/>
  <c r="T239" i="1"/>
  <c r="T231" i="1"/>
  <c r="T223" i="1"/>
  <c r="T215" i="1"/>
  <c r="T326" i="1"/>
  <c r="T318" i="1"/>
  <c r="T302" i="1"/>
  <c r="T262" i="1"/>
  <c r="T254" i="1"/>
  <c r="T246" i="1"/>
  <c r="T238" i="1"/>
  <c r="T230" i="1"/>
  <c r="T222" i="1"/>
  <c r="T214" i="1"/>
  <c r="T325" i="1"/>
  <c r="T309" i="1"/>
  <c r="T301" i="1"/>
  <c r="T293" i="1"/>
  <c r="T285" i="1"/>
  <c r="T277" i="1"/>
  <c r="T261" i="1"/>
  <c r="T253" i="1"/>
  <c r="T245" i="1"/>
  <c r="T237" i="1"/>
  <c r="T229" i="1"/>
  <c r="T221" i="1"/>
  <c r="T316" i="1"/>
  <c r="T308" i="1"/>
  <c r="T300" i="1"/>
  <c r="T292" i="1"/>
  <c r="T284" i="1"/>
  <c r="T260" i="1"/>
  <c r="T252" i="1"/>
  <c r="T236" i="1"/>
  <c r="T228" i="1"/>
  <c r="T220" i="1"/>
  <c r="T331" i="1"/>
  <c r="T323" i="1"/>
  <c r="T315" i="1"/>
  <c r="T307" i="1"/>
  <c r="T299" i="1"/>
  <c r="T283" i="1"/>
  <c r="T275" i="1"/>
  <c r="T267" i="1"/>
  <c r="T259" i="1"/>
  <c r="T251" i="1"/>
  <c r="T243" i="1"/>
  <c r="T235" i="1"/>
  <c r="T227" i="1"/>
  <c r="T219" i="1"/>
  <c r="V331" i="1"/>
  <c r="V330" i="1"/>
  <c r="V329" i="1"/>
  <c r="V328" i="1"/>
  <c r="V327" i="1"/>
  <c r="V326" i="1"/>
  <c r="V325" i="1"/>
  <c r="V324" i="1"/>
  <c r="V323" i="1"/>
  <c r="V322" i="1"/>
  <c r="V317" i="1"/>
  <c r="V321" i="1"/>
  <c r="V320" i="1"/>
  <c r="V319" i="1"/>
  <c r="V318" i="1"/>
  <c r="V316" i="1"/>
  <c r="V314" i="1"/>
  <c r="V315" i="1"/>
  <c r="V312" i="1"/>
  <c r="V313" i="1"/>
  <c r="V311" i="1"/>
  <c r="V310" i="1"/>
  <c r="V309" i="1"/>
  <c r="V308" i="1"/>
  <c r="V307" i="1"/>
  <c r="V306" i="1"/>
  <c r="V305" i="1"/>
  <c r="V304" i="1"/>
  <c r="V303" i="1"/>
  <c r="V302" i="1"/>
  <c r="V301" i="1"/>
  <c r="V297" i="1"/>
  <c r="V300" i="1"/>
  <c r="V299" i="1"/>
  <c r="V298" i="1"/>
  <c r="V296" i="1"/>
  <c r="V295" i="1"/>
  <c r="V294" i="1"/>
  <c r="V293" i="1"/>
  <c r="V292" i="1"/>
  <c r="V291" i="1"/>
  <c r="V290" i="1"/>
  <c r="U289" i="1"/>
  <c r="V289" i="1"/>
  <c r="U288" i="1"/>
  <c r="V288" i="1"/>
  <c r="U287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3" i="1"/>
  <c r="V274" i="1"/>
  <c r="V272" i="1"/>
  <c r="V271" i="1"/>
  <c r="V270" i="1"/>
  <c r="U269" i="1"/>
  <c r="V269" i="1"/>
  <c r="U268" i="1"/>
  <c r="V268" i="1"/>
  <c r="V267" i="1"/>
  <c r="V266" i="1"/>
  <c r="V265" i="1"/>
  <c r="V264" i="1"/>
  <c r="V263" i="1"/>
  <c r="V262" i="1"/>
  <c r="V261" i="1"/>
  <c r="V260" i="1"/>
  <c r="V259" i="1"/>
  <c r="V257" i="1"/>
  <c r="V258" i="1"/>
  <c r="V252" i="1"/>
  <c r="V251" i="1"/>
  <c r="U256" i="1"/>
  <c r="U255" i="1"/>
  <c r="V250" i="1"/>
  <c r="V253" i="1"/>
  <c r="V254" i="1"/>
  <c r="V249" i="1"/>
  <c r="U248" i="1"/>
  <c r="V247" i="1"/>
  <c r="V246" i="1"/>
  <c r="V245" i="1"/>
  <c r="U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29" i="1"/>
  <c r="V230" i="1"/>
  <c r="V228" i="1"/>
  <c r="V227" i="1"/>
  <c r="V225" i="1"/>
  <c r="V226" i="1"/>
  <c r="V224" i="1"/>
  <c r="V223" i="1"/>
  <c r="V221" i="1"/>
  <c r="V222" i="1"/>
  <c r="V220" i="1"/>
  <c r="V219" i="1"/>
  <c r="V218" i="1"/>
  <c r="V217" i="1"/>
  <c r="V216" i="1"/>
  <c r="V215" i="1"/>
  <c r="V214" i="1"/>
  <c r="G4" i="19"/>
  <c r="G27" i="19" s="1"/>
  <c r="F4" i="19"/>
  <c r="F5" i="19" s="1"/>
  <c r="F6" i="19" s="1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34" i="19" l="1"/>
  <c r="A213" i="1"/>
  <c r="Q213" i="1"/>
  <c r="R213" i="1"/>
  <c r="A212" i="1"/>
  <c r="Q212" i="1"/>
  <c r="R212" i="1"/>
  <c r="A211" i="1"/>
  <c r="Q211" i="1"/>
  <c r="R211" i="1"/>
  <c r="A210" i="1"/>
  <c r="Q210" i="1"/>
  <c r="R210" i="1"/>
  <c r="U210" i="1" l="1"/>
  <c r="T210" i="1"/>
  <c r="U212" i="1"/>
  <c r="T212" i="1"/>
  <c r="U211" i="1"/>
  <c r="T211" i="1"/>
  <c r="U213" i="1"/>
  <c r="T213" i="1"/>
  <c r="V213" i="1"/>
  <c r="V212" i="1"/>
  <c r="V211" i="1"/>
  <c r="V210" i="1"/>
  <c r="A208" i="1"/>
  <c r="A209" i="1"/>
  <c r="R208" i="1"/>
  <c r="Q208" i="1" s="1"/>
  <c r="R209" i="1"/>
  <c r="Q209" i="1" s="1"/>
  <c r="A206" i="1"/>
  <c r="A207" i="1"/>
  <c r="R206" i="1"/>
  <c r="Q206" i="1" s="1"/>
  <c r="R207" i="1"/>
  <c r="Q207" i="1" s="1"/>
  <c r="A204" i="1"/>
  <c r="A205" i="1"/>
  <c r="R204" i="1"/>
  <c r="Q204" i="1" s="1"/>
  <c r="R205" i="1"/>
  <c r="Q205" i="1" s="1"/>
  <c r="A202" i="1"/>
  <c r="A203" i="1"/>
  <c r="R202" i="1"/>
  <c r="Q202" i="1" s="1"/>
  <c r="R203" i="1"/>
  <c r="Q203" i="1" s="1"/>
  <c r="U208" i="1" l="1"/>
  <c r="T208" i="1"/>
  <c r="U207" i="1"/>
  <c r="T207" i="1"/>
  <c r="U209" i="1"/>
  <c r="T209" i="1"/>
  <c r="V206" i="1"/>
  <c r="T206" i="1"/>
  <c r="V203" i="1"/>
  <c r="T203" i="1"/>
  <c r="U202" i="1"/>
  <c r="T202" i="1"/>
  <c r="U205" i="1"/>
  <c r="T205" i="1"/>
  <c r="U204" i="1"/>
  <c r="T204" i="1"/>
  <c r="V209" i="1"/>
  <c r="V208" i="1"/>
  <c r="U206" i="1"/>
  <c r="V207" i="1"/>
  <c r="V205" i="1"/>
  <c r="V204" i="1"/>
  <c r="V202" i="1"/>
  <c r="U203" i="1"/>
  <c r="A201" i="1"/>
  <c r="R201" i="1"/>
  <c r="Q201" i="1" s="1"/>
  <c r="A200" i="1"/>
  <c r="R200" i="1"/>
  <c r="Q200" i="1" s="1"/>
  <c r="U201" i="1" l="1"/>
  <c r="T201" i="1"/>
  <c r="U200" i="1"/>
  <c r="T200" i="1"/>
  <c r="V201" i="1"/>
  <c r="V200" i="1"/>
  <c r="A199" i="1"/>
  <c r="Q199" i="1"/>
  <c r="R199" i="1"/>
  <c r="A198" i="1"/>
  <c r="Q198" i="1"/>
  <c r="R198" i="1"/>
  <c r="U198" i="1" l="1"/>
  <c r="T198" i="1"/>
  <c r="U199" i="1"/>
  <c r="T199" i="1"/>
  <c r="V198" i="1"/>
  <c r="V199" i="1"/>
  <c r="A196" i="1"/>
  <c r="A197" i="1"/>
  <c r="R196" i="1"/>
  <c r="Q196" i="1" s="1"/>
  <c r="R197" i="1"/>
  <c r="Q197" i="1" s="1"/>
  <c r="A194" i="1"/>
  <c r="A195" i="1"/>
  <c r="R194" i="1"/>
  <c r="Q194" i="1" s="1"/>
  <c r="R195" i="1"/>
  <c r="Q195" i="1" s="1"/>
  <c r="A193" i="1"/>
  <c r="Q193" i="1"/>
  <c r="R193" i="1"/>
  <c r="A192" i="1"/>
  <c r="Q192" i="1"/>
  <c r="R192" i="1"/>
  <c r="V197" i="1" l="1"/>
  <c r="T197" i="1"/>
  <c r="V195" i="1"/>
  <c r="T195" i="1"/>
  <c r="U196" i="1"/>
  <c r="T196" i="1"/>
  <c r="V192" i="1"/>
  <c r="T192" i="1"/>
  <c r="U194" i="1"/>
  <c r="T194" i="1"/>
  <c r="U193" i="1"/>
  <c r="T193" i="1"/>
  <c r="U195" i="1"/>
  <c r="V196" i="1"/>
  <c r="V194" i="1"/>
  <c r="U197" i="1"/>
  <c r="V193" i="1"/>
  <c r="U192" i="1"/>
  <c r="A191" i="1"/>
  <c r="R191" i="1"/>
  <c r="Q191" i="1" s="1"/>
  <c r="U191" i="1" l="1"/>
  <c r="T191" i="1"/>
  <c r="V191" i="1"/>
  <c r="A190" i="1"/>
  <c r="R190" i="1"/>
  <c r="Q190" i="1" s="1"/>
  <c r="A189" i="1"/>
  <c r="R189" i="1"/>
  <c r="Q189" i="1" s="1"/>
  <c r="A188" i="1"/>
  <c r="R188" i="1"/>
  <c r="Q188" i="1" s="1"/>
  <c r="A179" i="1"/>
  <c r="A180" i="1"/>
  <c r="A181" i="1"/>
  <c r="A182" i="1"/>
  <c r="A183" i="1"/>
  <c r="A184" i="1"/>
  <c r="A185" i="1"/>
  <c r="A186" i="1"/>
  <c r="A187" i="1"/>
  <c r="R179" i="1"/>
  <c r="Q179" i="1" s="1"/>
  <c r="R180" i="1"/>
  <c r="Q180" i="1" s="1"/>
  <c r="R181" i="1"/>
  <c r="Q181" i="1" s="1"/>
  <c r="R182" i="1"/>
  <c r="Q182" i="1" s="1"/>
  <c r="R183" i="1"/>
  <c r="Q183" i="1" s="1"/>
  <c r="R184" i="1"/>
  <c r="Q184" i="1" s="1"/>
  <c r="R185" i="1"/>
  <c r="Q185" i="1" s="1"/>
  <c r="R186" i="1"/>
  <c r="Q186" i="1" s="1"/>
  <c r="R187" i="1"/>
  <c r="Q187" i="1" s="1"/>
  <c r="A178" i="1"/>
  <c r="R178" i="1"/>
  <c r="Q178" i="1" s="1"/>
  <c r="A177" i="1"/>
  <c r="Q177" i="1"/>
  <c r="R177" i="1"/>
  <c r="U182" i="1" l="1"/>
  <c r="T182" i="1"/>
  <c r="V181" i="1"/>
  <c r="T181" i="1"/>
  <c r="U189" i="1"/>
  <c r="T189" i="1"/>
  <c r="V183" i="1"/>
  <c r="T183" i="1"/>
  <c r="U187" i="1"/>
  <c r="T187" i="1"/>
  <c r="U186" i="1"/>
  <c r="T186" i="1"/>
  <c r="U190" i="1"/>
  <c r="T190" i="1"/>
  <c r="U178" i="1"/>
  <c r="T178" i="1"/>
  <c r="U180" i="1"/>
  <c r="T180" i="1"/>
  <c r="V179" i="1"/>
  <c r="T179" i="1"/>
  <c r="U177" i="1"/>
  <c r="T177" i="1"/>
  <c r="V185" i="1"/>
  <c r="T185" i="1"/>
  <c r="V188" i="1"/>
  <c r="T188" i="1"/>
  <c r="U184" i="1"/>
  <c r="T184" i="1"/>
  <c r="V190" i="1"/>
  <c r="U185" i="1"/>
  <c r="U181" i="1"/>
  <c r="V186" i="1"/>
  <c r="V189" i="1"/>
  <c r="U183" i="1"/>
  <c r="V182" i="1"/>
  <c r="V180" i="1"/>
  <c r="U188" i="1"/>
  <c r="U179" i="1"/>
  <c r="V187" i="1"/>
  <c r="V184" i="1"/>
  <c r="V178" i="1"/>
  <c r="V177" i="1"/>
  <c r="H8" i="9"/>
  <c r="A8" i="9" s="1"/>
  <c r="I8" i="9" l="1"/>
  <c r="A176" i="1"/>
  <c r="Q176" i="1"/>
  <c r="R176" i="1"/>
  <c r="A175" i="1"/>
  <c r="Q175" i="1"/>
  <c r="R175" i="1"/>
  <c r="E68" i="5"/>
  <c r="D68" i="5"/>
  <c r="R12" i="1"/>
  <c r="R14" i="1"/>
  <c r="R16" i="1"/>
  <c r="R18" i="1"/>
  <c r="R19" i="1"/>
  <c r="R22" i="1"/>
  <c r="R24" i="1"/>
  <c r="R28" i="1"/>
  <c r="R27" i="1"/>
  <c r="R33" i="1"/>
  <c r="R32" i="1"/>
  <c r="R35" i="1"/>
  <c r="R29" i="1"/>
  <c r="R40" i="1"/>
  <c r="R38" i="1"/>
  <c r="R46" i="1"/>
  <c r="R44" i="1"/>
  <c r="R48" i="1"/>
  <c r="R43" i="1"/>
  <c r="R52" i="1"/>
  <c r="R50" i="1"/>
  <c r="R54" i="1"/>
  <c r="R58" i="1"/>
  <c r="R56" i="1"/>
  <c r="R55" i="1"/>
  <c r="R73" i="1"/>
  <c r="R71" i="1"/>
  <c r="R66" i="1"/>
  <c r="R62" i="1"/>
  <c r="R61" i="1"/>
  <c r="R68" i="1"/>
  <c r="R67" i="1"/>
  <c r="R64" i="1"/>
  <c r="R69" i="1"/>
  <c r="R63" i="1"/>
  <c r="R82" i="1"/>
  <c r="R76" i="1"/>
  <c r="R81" i="1"/>
  <c r="R84" i="1"/>
  <c r="R79" i="1"/>
  <c r="R88" i="1"/>
  <c r="R98" i="1"/>
  <c r="R90" i="1"/>
  <c r="R92" i="1"/>
  <c r="R94" i="1"/>
  <c r="R96" i="1"/>
  <c r="R104" i="1"/>
  <c r="R100" i="1"/>
  <c r="R102" i="1"/>
  <c r="R114" i="1"/>
  <c r="R109" i="1"/>
  <c r="R112" i="1"/>
  <c r="R106" i="1"/>
  <c r="R108" i="1"/>
  <c r="R117" i="1"/>
  <c r="R119" i="1"/>
  <c r="R121" i="1"/>
  <c r="R125" i="1"/>
  <c r="R124" i="1"/>
  <c r="R127" i="1"/>
  <c r="R129" i="1"/>
  <c r="R133" i="1"/>
  <c r="R134" i="1"/>
  <c r="R136" i="1"/>
  <c r="R142" i="1"/>
  <c r="R138" i="1"/>
  <c r="R144" i="1"/>
  <c r="R140" i="1"/>
  <c r="R146" i="1"/>
  <c r="R152" i="1"/>
  <c r="R151" i="1"/>
  <c r="R149" i="1"/>
  <c r="R156" i="1"/>
  <c r="R164" i="1"/>
  <c r="R162" i="1"/>
  <c r="R158" i="1"/>
  <c r="R160" i="1"/>
  <c r="R173" i="1"/>
  <c r="R171" i="1"/>
  <c r="R169" i="1"/>
  <c r="R168" i="1"/>
  <c r="R174" i="1"/>
  <c r="R11" i="1"/>
  <c r="R13" i="1"/>
  <c r="R15" i="1"/>
  <c r="R17" i="1"/>
  <c r="R20" i="1"/>
  <c r="R21" i="1"/>
  <c r="R23" i="1"/>
  <c r="R26" i="1"/>
  <c r="R25" i="1"/>
  <c r="R31" i="1"/>
  <c r="R30" i="1"/>
  <c r="R34" i="1"/>
  <c r="R36" i="1"/>
  <c r="R39" i="1"/>
  <c r="R37" i="1"/>
  <c r="R45" i="1"/>
  <c r="R42" i="1"/>
  <c r="R47" i="1"/>
  <c r="R41" i="1"/>
  <c r="R51" i="1"/>
  <c r="R49" i="1"/>
  <c r="R53" i="1"/>
  <c r="R57" i="1"/>
  <c r="R72" i="1"/>
  <c r="R70" i="1"/>
  <c r="R65" i="1"/>
  <c r="R60" i="1"/>
  <c r="R59" i="1"/>
  <c r="R74" i="1"/>
  <c r="R78" i="1"/>
  <c r="R77" i="1"/>
  <c r="R75" i="1"/>
  <c r="R80" i="1"/>
  <c r="R83" i="1"/>
  <c r="R85" i="1"/>
  <c r="R86" i="1"/>
  <c r="R87" i="1"/>
  <c r="R97" i="1"/>
  <c r="R89" i="1"/>
  <c r="R91" i="1"/>
  <c r="R93" i="1"/>
  <c r="R95" i="1"/>
  <c r="R103" i="1"/>
  <c r="R99" i="1"/>
  <c r="R101" i="1"/>
  <c r="R113" i="1"/>
  <c r="R111" i="1"/>
  <c r="R110" i="1"/>
  <c r="R105" i="1"/>
  <c r="R107" i="1"/>
  <c r="R115" i="1"/>
  <c r="R116" i="1"/>
  <c r="R118" i="1"/>
  <c r="R120" i="1"/>
  <c r="R123" i="1"/>
  <c r="R122" i="1"/>
  <c r="R126" i="1"/>
  <c r="R128" i="1"/>
  <c r="R131" i="1"/>
  <c r="R130" i="1"/>
  <c r="R132" i="1"/>
  <c r="R135" i="1"/>
  <c r="R141" i="1"/>
  <c r="R137" i="1"/>
  <c r="R143" i="1"/>
  <c r="R139" i="1"/>
  <c r="R145" i="1"/>
  <c r="R148" i="1"/>
  <c r="R147" i="1"/>
  <c r="R154" i="1"/>
  <c r="R150" i="1"/>
  <c r="R153" i="1"/>
  <c r="R155" i="1"/>
  <c r="R163" i="1"/>
  <c r="R161" i="1"/>
  <c r="R157" i="1"/>
  <c r="R159" i="1"/>
  <c r="R172" i="1"/>
  <c r="R170" i="1"/>
  <c r="R167" i="1"/>
  <c r="R166" i="1"/>
  <c r="R165" i="1"/>
  <c r="U175" i="1" l="1"/>
  <c r="T175" i="1"/>
  <c r="U176" i="1"/>
  <c r="T176" i="1"/>
  <c r="V176" i="1"/>
  <c r="V175" i="1"/>
  <c r="A12" i="1"/>
  <c r="A14" i="1"/>
  <c r="A16" i="1"/>
  <c r="A18" i="1"/>
  <c r="A19" i="1"/>
  <c r="A22" i="1"/>
  <c r="A24" i="1"/>
  <c r="A28" i="1"/>
  <c r="A27" i="1"/>
  <c r="A33" i="1"/>
  <c r="A32" i="1"/>
  <c r="A35" i="1"/>
  <c r="A29" i="1"/>
  <c r="A40" i="1"/>
  <c r="A38" i="1"/>
  <c r="A46" i="1"/>
  <c r="A44" i="1"/>
  <c r="A48" i="1"/>
  <c r="A43" i="1"/>
  <c r="A52" i="1"/>
  <c r="A50" i="1"/>
  <c r="A54" i="1"/>
  <c r="A58" i="1"/>
  <c r="A56" i="1"/>
  <c r="A55" i="1"/>
  <c r="A73" i="1"/>
  <c r="A71" i="1"/>
  <c r="A66" i="1"/>
  <c r="A62" i="1"/>
  <c r="A61" i="1"/>
  <c r="A68" i="1"/>
  <c r="A67" i="1"/>
  <c r="A64" i="1"/>
  <c r="A69" i="1"/>
  <c r="A63" i="1"/>
  <c r="A82" i="1"/>
  <c r="A76" i="1"/>
  <c r="A81" i="1"/>
  <c r="A84" i="1"/>
  <c r="A79" i="1"/>
  <c r="A88" i="1"/>
  <c r="A98" i="1"/>
  <c r="A90" i="1"/>
  <c r="A92" i="1"/>
  <c r="A94" i="1"/>
  <c r="A96" i="1"/>
  <c r="A104" i="1"/>
  <c r="A100" i="1"/>
  <c r="A102" i="1"/>
  <c r="A114" i="1"/>
  <c r="A109" i="1"/>
  <c r="A112" i="1"/>
  <c r="A106" i="1"/>
  <c r="A108" i="1"/>
  <c r="A117" i="1"/>
  <c r="A119" i="1"/>
  <c r="A121" i="1"/>
  <c r="A125" i="1"/>
  <c r="A124" i="1"/>
  <c r="A127" i="1"/>
  <c r="A129" i="1"/>
  <c r="A133" i="1"/>
  <c r="A134" i="1"/>
  <c r="A136" i="1"/>
  <c r="A142" i="1"/>
  <c r="A138" i="1"/>
  <c r="A144" i="1"/>
  <c r="A140" i="1"/>
  <c r="A146" i="1"/>
  <c r="A152" i="1"/>
  <c r="A151" i="1"/>
  <c r="A149" i="1"/>
  <c r="A156" i="1"/>
  <c r="A164" i="1"/>
  <c r="A162" i="1"/>
  <c r="A158" i="1"/>
  <c r="A160" i="1"/>
  <c r="A173" i="1"/>
  <c r="A171" i="1"/>
  <c r="A169" i="1"/>
  <c r="A168" i="1"/>
  <c r="A174" i="1"/>
  <c r="A11" i="1"/>
  <c r="A13" i="1"/>
  <c r="A15" i="1"/>
  <c r="A17" i="1"/>
  <c r="A20" i="1"/>
  <c r="A21" i="1"/>
  <c r="A23" i="1"/>
  <c r="A26" i="1"/>
  <c r="A25" i="1"/>
  <c r="A31" i="1"/>
  <c r="A30" i="1"/>
  <c r="A34" i="1"/>
  <c r="A36" i="1"/>
  <c r="A39" i="1"/>
  <c r="A37" i="1"/>
  <c r="A45" i="1"/>
  <c r="A42" i="1"/>
  <c r="A47" i="1"/>
  <c r="A41" i="1"/>
  <c r="A51" i="1"/>
  <c r="A49" i="1"/>
  <c r="A53" i="1"/>
  <c r="A57" i="1"/>
  <c r="A72" i="1"/>
  <c r="A70" i="1"/>
  <c r="A65" i="1"/>
  <c r="A60" i="1"/>
  <c r="A59" i="1"/>
  <c r="A74" i="1"/>
  <c r="A78" i="1"/>
  <c r="A77" i="1"/>
  <c r="A75" i="1"/>
  <c r="A80" i="1"/>
  <c r="A83" i="1"/>
  <c r="A85" i="1"/>
  <c r="A86" i="1"/>
  <c r="A87" i="1"/>
  <c r="A97" i="1"/>
  <c r="A89" i="1"/>
  <c r="A91" i="1"/>
  <c r="A93" i="1"/>
  <c r="A95" i="1"/>
  <c r="A103" i="1"/>
  <c r="A99" i="1"/>
  <c r="A101" i="1"/>
  <c r="A113" i="1"/>
  <c r="A111" i="1"/>
  <c r="A110" i="1"/>
  <c r="A105" i="1"/>
  <c r="A107" i="1"/>
  <c r="A115" i="1"/>
  <c r="A116" i="1"/>
  <c r="A118" i="1"/>
  <c r="A120" i="1"/>
  <c r="A123" i="1"/>
  <c r="A122" i="1"/>
  <c r="A126" i="1"/>
  <c r="A128" i="1"/>
  <c r="A131" i="1"/>
  <c r="A130" i="1"/>
  <c r="A132" i="1"/>
  <c r="A135" i="1"/>
  <c r="A141" i="1"/>
  <c r="A137" i="1"/>
  <c r="A143" i="1"/>
  <c r="A139" i="1"/>
  <c r="A145" i="1"/>
  <c r="A148" i="1"/>
  <c r="A147" i="1"/>
  <c r="A154" i="1"/>
  <c r="A150" i="1"/>
  <c r="A153" i="1"/>
  <c r="A155" i="1"/>
  <c r="A163" i="1"/>
  <c r="A161" i="1"/>
  <c r="A157" i="1"/>
  <c r="A159" i="1"/>
  <c r="A172" i="1"/>
  <c r="A170" i="1"/>
  <c r="A167" i="1"/>
  <c r="A166" i="1"/>
  <c r="A165" i="1"/>
  <c r="Q11" i="1"/>
  <c r="T11" i="1" s="1"/>
  <c r="Q13" i="1"/>
  <c r="Q20" i="1"/>
  <c r="T20" i="1" s="1"/>
  <c r="Q26" i="1"/>
  <c r="Q25" i="1"/>
  <c r="T25" i="1" s="1"/>
  <c r="Q31" i="1"/>
  <c r="Q36" i="1"/>
  <c r="Q45" i="1"/>
  <c r="Q42" i="1"/>
  <c r="Q47" i="1"/>
  <c r="Q49" i="1"/>
  <c r="Q72" i="1"/>
  <c r="Q65" i="1"/>
  <c r="Q75" i="1"/>
  <c r="Q83" i="1"/>
  <c r="Q91" i="1"/>
  <c r="Q110" i="1"/>
  <c r="Q122" i="1"/>
  <c r="Q15" i="1"/>
  <c r="T15" i="1" s="1"/>
  <c r="Q17" i="1"/>
  <c r="Q21" i="1"/>
  <c r="T21" i="1" s="1"/>
  <c r="Q23" i="1"/>
  <c r="T23" i="1" s="1"/>
  <c r="Q30" i="1"/>
  <c r="T30" i="1" s="1"/>
  <c r="Q34" i="1"/>
  <c r="Q39" i="1"/>
  <c r="T39" i="1" s="1"/>
  <c r="Q37" i="1"/>
  <c r="T37" i="1" s="1"/>
  <c r="Q41" i="1"/>
  <c r="T41" i="1" s="1"/>
  <c r="Q51" i="1"/>
  <c r="Q53" i="1"/>
  <c r="T53" i="1" s="1"/>
  <c r="Q57" i="1"/>
  <c r="T57" i="1" s="1"/>
  <c r="Q70" i="1"/>
  <c r="T70" i="1" s="1"/>
  <c r="Q60" i="1"/>
  <c r="T60" i="1" s="1"/>
  <c r="Q59" i="1"/>
  <c r="Q74" i="1"/>
  <c r="T74" i="1" s="1"/>
  <c r="Q78" i="1"/>
  <c r="T78" i="1" s="1"/>
  <c r="Q77" i="1"/>
  <c r="T77" i="1" s="1"/>
  <c r="Q80" i="1"/>
  <c r="Q85" i="1"/>
  <c r="T85" i="1" s="1"/>
  <c r="Q86" i="1"/>
  <c r="Q87" i="1"/>
  <c r="T87" i="1" s="1"/>
  <c r="Q97" i="1"/>
  <c r="T97" i="1" s="1"/>
  <c r="Q89" i="1"/>
  <c r="T89" i="1" s="1"/>
  <c r="Q93" i="1"/>
  <c r="T93" i="1" s="1"/>
  <c r="Q95" i="1"/>
  <c r="Q103" i="1"/>
  <c r="T103" i="1" s="1"/>
  <c r="Q99" i="1"/>
  <c r="Q101" i="1"/>
  <c r="T101" i="1" s="1"/>
  <c r="Q113" i="1"/>
  <c r="T113" i="1" s="1"/>
  <c r="Q111" i="1"/>
  <c r="T111" i="1" s="1"/>
  <c r="Q105" i="1"/>
  <c r="Q107" i="1"/>
  <c r="Q115" i="1"/>
  <c r="T115" i="1" s="1"/>
  <c r="Q116" i="1"/>
  <c r="Q118" i="1"/>
  <c r="T118" i="1" s="1"/>
  <c r="Q120" i="1"/>
  <c r="T120" i="1" s="1"/>
  <c r="Q123" i="1"/>
  <c r="T123" i="1" s="1"/>
  <c r="Q126" i="1"/>
  <c r="T126" i="1" s="1"/>
  <c r="Q128" i="1"/>
  <c r="Q131" i="1"/>
  <c r="T131" i="1" s="1"/>
  <c r="Q130" i="1"/>
  <c r="Q132" i="1"/>
  <c r="T132" i="1" s="1"/>
  <c r="Q135" i="1"/>
  <c r="T135" i="1" s="1"/>
  <c r="Q141" i="1"/>
  <c r="T141" i="1" s="1"/>
  <c r="Q137" i="1"/>
  <c r="Q143" i="1"/>
  <c r="T143" i="1" s="1"/>
  <c r="Q139" i="1"/>
  <c r="Q145" i="1"/>
  <c r="T145" i="1" s="1"/>
  <c r="Q148" i="1"/>
  <c r="T148" i="1" s="1"/>
  <c r="Q147" i="1"/>
  <c r="T147" i="1" s="1"/>
  <c r="Q154" i="1"/>
  <c r="T154" i="1" s="1"/>
  <c r="Q150" i="1"/>
  <c r="T150" i="1" s="1"/>
  <c r="Q153" i="1"/>
  <c r="Q155" i="1"/>
  <c r="Q163" i="1"/>
  <c r="Q161" i="1"/>
  <c r="T161" i="1" s="1"/>
  <c r="Q157" i="1"/>
  <c r="Q159" i="1"/>
  <c r="T159" i="1" s="1"/>
  <c r="Q172" i="1"/>
  <c r="T172" i="1" s="1"/>
  <c r="Q170" i="1"/>
  <c r="T170" i="1" s="1"/>
  <c r="Q167" i="1"/>
  <c r="Q166" i="1"/>
  <c r="Q165" i="1"/>
  <c r="T165" i="1" s="1"/>
  <c r="Q174" i="1"/>
  <c r="Q168" i="1"/>
  <c r="Q171" i="1"/>
  <c r="Q169" i="1"/>
  <c r="U169" i="1" l="1"/>
  <c r="T169" i="1"/>
  <c r="U163" i="1"/>
  <c r="T163" i="1"/>
  <c r="U105" i="1"/>
  <c r="T105" i="1"/>
  <c r="V171" i="1"/>
  <c r="T171" i="1"/>
  <c r="U166" i="1"/>
  <c r="T166" i="1"/>
  <c r="U155" i="1"/>
  <c r="T155" i="1"/>
  <c r="U168" i="1"/>
  <c r="T168" i="1"/>
  <c r="U86" i="1"/>
  <c r="T86" i="1"/>
  <c r="U83" i="1"/>
  <c r="T83" i="1"/>
  <c r="V36" i="1"/>
  <c r="T36" i="1"/>
  <c r="U99" i="1"/>
  <c r="T99" i="1"/>
  <c r="U75" i="1"/>
  <c r="T75" i="1"/>
  <c r="U31" i="1"/>
  <c r="T31" i="1"/>
  <c r="U116" i="1"/>
  <c r="T116" i="1"/>
  <c r="V65" i="1"/>
  <c r="T65" i="1"/>
  <c r="U157" i="1"/>
  <c r="T157" i="1"/>
  <c r="V130" i="1"/>
  <c r="T130" i="1"/>
  <c r="U95" i="1"/>
  <c r="T95" i="1"/>
  <c r="V51" i="1"/>
  <c r="T51" i="1"/>
  <c r="U17" i="1"/>
  <c r="T17" i="1"/>
  <c r="U72" i="1"/>
  <c r="T72" i="1"/>
  <c r="U26" i="1"/>
  <c r="T26" i="1"/>
  <c r="U107" i="1"/>
  <c r="T107" i="1"/>
  <c r="V49" i="1"/>
  <c r="T49" i="1"/>
  <c r="U122" i="1"/>
  <c r="T122" i="1"/>
  <c r="U47" i="1"/>
  <c r="T47" i="1"/>
  <c r="V13" i="1"/>
  <c r="T13" i="1"/>
  <c r="V80" i="1"/>
  <c r="T80" i="1"/>
  <c r="U59" i="1"/>
  <c r="T59" i="1"/>
  <c r="U110" i="1"/>
  <c r="T110" i="1"/>
  <c r="U42" i="1"/>
  <c r="T42" i="1"/>
  <c r="U167" i="1"/>
  <c r="T167" i="1"/>
  <c r="U153" i="1"/>
  <c r="T153" i="1"/>
  <c r="U137" i="1"/>
  <c r="T137" i="1"/>
  <c r="U34" i="1"/>
  <c r="T34" i="1"/>
  <c r="U91" i="1"/>
  <c r="T91" i="1"/>
  <c r="U45" i="1"/>
  <c r="T45" i="1"/>
  <c r="V174" i="1"/>
  <c r="T174" i="1"/>
  <c r="U139" i="1"/>
  <c r="T139" i="1"/>
  <c r="V128" i="1"/>
  <c r="T128" i="1"/>
  <c r="I3" i="1"/>
  <c r="J3" i="1" s="1"/>
  <c r="U165" i="1"/>
  <c r="U174" i="1"/>
  <c r="U25" i="1"/>
  <c r="U20" i="1"/>
  <c r="V11" i="1"/>
  <c r="U36" i="1"/>
  <c r="U49" i="1"/>
  <c r="V20" i="1"/>
  <c r="V25" i="1"/>
  <c r="U150" i="1"/>
  <c r="V150" i="1"/>
  <c r="U89" i="1"/>
  <c r="V89" i="1"/>
  <c r="U172" i="1"/>
  <c r="V172" i="1"/>
  <c r="V113" i="1"/>
  <c r="U113" i="1"/>
  <c r="V78" i="1"/>
  <c r="U78" i="1"/>
  <c r="U159" i="1"/>
  <c r="V159" i="1"/>
  <c r="U118" i="1"/>
  <c r="V118" i="1"/>
  <c r="U123" i="1"/>
  <c r="V123" i="1"/>
  <c r="U23" i="1"/>
  <c r="V23" i="1"/>
  <c r="V135" i="1"/>
  <c r="U135" i="1"/>
  <c r="U21" i="1"/>
  <c r="V21" i="1"/>
  <c r="V101" i="1"/>
  <c r="U101" i="1"/>
  <c r="V145" i="1"/>
  <c r="U145" i="1"/>
  <c r="U131" i="1"/>
  <c r="V131" i="1"/>
  <c r="V115" i="1"/>
  <c r="U115" i="1"/>
  <c r="U103" i="1"/>
  <c r="V103" i="1"/>
  <c r="U85" i="1"/>
  <c r="V85" i="1"/>
  <c r="V60" i="1"/>
  <c r="U60" i="1"/>
  <c r="V41" i="1"/>
  <c r="U41" i="1"/>
  <c r="U30" i="1"/>
  <c r="V30" i="1"/>
  <c r="V15" i="1"/>
  <c r="U15" i="1"/>
  <c r="U141" i="1"/>
  <c r="V141" i="1"/>
  <c r="U111" i="1"/>
  <c r="V111" i="1"/>
  <c r="U57" i="1"/>
  <c r="V57" i="1"/>
  <c r="U120" i="1"/>
  <c r="V120" i="1"/>
  <c r="V53" i="1"/>
  <c r="U53" i="1"/>
  <c r="U147" i="1"/>
  <c r="V147" i="1"/>
  <c r="U87" i="1"/>
  <c r="V87" i="1"/>
  <c r="U148" i="1"/>
  <c r="V148" i="1"/>
  <c r="U170" i="1"/>
  <c r="V170" i="1"/>
  <c r="U77" i="1"/>
  <c r="V77" i="1"/>
  <c r="U154" i="1"/>
  <c r="V154" i="1"/>
  <c r="U97" i="1"/>
  <c r="V97" i="1"/>
  <c r="V39" i="1"/>
  <c r="U39" i="1"/>
  <c r="V132" i="1"/>
  <c r="U132" i="1"/>
  <c r="U74" i="1"/>
  <c r="V74" i="1"/>
  <c r="V161" i="1"/>
  <c r="U161" i="1"/>
  <c r="U143" i="1"/>
  <c r="V143" i="1"/>
  <c r="V126" i="1"/>
  <c r="U126" i="1"/>
  <c r="U93" i="1"/>
  <c r="V93" i="1"/>
  <c r="V70" i="1"/>
  <c r="U70" i="1"/>
  <c r="U37" i="1"/>
  <c r="V37" i="1"/>
  <c r="V17" i="1"/>
  <c r="V116" i="1"/>
  <c r="U51" i="1"/>
  <c r="V157" i="1"/>
  <c r="V34" i="1"/>
  <c r="V86" i="1"/>
  <c r="V99" i="1"/>
  <c r="V155" i="1"/>
  <c r="V42" i="1"/>
  <c r="V105" i="1"/>
  <c r="U80" i="1"/>
  <c r="U11" i="1"/>
  <c r="V166" i="1"/>
  <c r="U130" i="1"/>
  <c r="U65" i="1"/>
  <c r="V59" i="1"/>
  <c r="U128" i="1"/>
  <c r="U13" i="1"/>
  <c r="V163" i="1"/>
  <c r="V107" i="1"/>
  <c r="V47" i="1"/>
  <c r="V165" i="1"/>
  <c r="V139" i="1"/>
  <c r="V95" i="1"/>
  <c r="V31" i="1"/>
  <c r="V83" i="1"/>
  <c r="V167" i="1"/>
  <c r="V153" i="1"/>
  <c r="V137" i="1"/>
  <c r="V122" i="1"/>
  <c r="V110" i="1"/>
  <c r="V91" i="1"/>
  <c r="V75" i="1"/>
  <c r="V72" i="1"/>
  <c r="V45" i="1"/>
  <c r="V26" i="1"/>
  <c r="V168" i="1"/>
  <c r="U171" i="1"/>
  <c r="V169" i="1"/>
  <c r="Q173" i="1"/>
  <c r="U173" i="1" l="1"/>
  <c r="T173" i="1"/>
  <c r="E67" i="5"/>
  <c r="D67" i="5"/>
  <c r="C67" i="5"/>
  <c r="V173" i="1"/>
  <c r="Q160" i="1"/>
  <c r="Q158" i="1"/>
  <c r="Q162" i="1"/>
  <c r="Q164" i="1"/>
  <c r="Q156" i="1"/>
  <c r="V158" i="1" l="1"/>
  <c r="T158" i="1"/>
  <c r="U156" i="1"/>
  <c r="T156" i="1"/>
  <c r="U160" i="1"/>
  <c r="T160" i="1"/>
  <c r="U164" i="1"/>
  <c r="T164" i="1"/>
  <c r="U162" i="1"/>
  <c r="T162" i="1"/>
  <c r="V160" i="1"/>
  <c r="U158" i="1"/>
  <c r="V162" i="1"/>
  <c r="V156" i="1"/>
  <c r="V164" i="1"/>
  <c r="Q14" i="1"/>
  <c r="T14" i="1" s="1"/>
  <c r="Q12" i="1"/>
  <c r="T12" i="1" s="1"/>
  <c r="Q16" i="1"/>
  <c r="T16" i="1" s="1"/>
  <c r="Q18" i="1"/>
  <c r="T18" i="1" s="1"/>
  <c r="Q19" i="1"/>
  <c r="T19" i="1" s="1"/>
  <c r="Q22" i="1"/>
  <c r="T22" i="1" s="1"/>
  <c r="Q24" i="1"/>
  <c r="T24" i="1" s="1"/>
  <c r="Q28" i="1"/>
  <c r="T28" i="1" s="1"/>
  <c r="Q27" i="1"/>
  <c r="T27" i="1" s="1"/>
  <c r="Q33" i="1"/>
  <c r="T33" i="1" s="1"/>
  <c r="Q32" i="1"/>
  <c r="T32" i="1" s="1"/>
  <c r="Q35" i="1"/>
  <c r="T35" i="1" s="1"/>
  <c r="Q29" i="1"/>
  <c r="T29" i="1" s="1"/>
  <c r="Q40" i="1"/>
  <c r="T40" i="1" s="1"/>
  <c r="Q38" i="1"/>
  <c r="T38" i="1" s="1"/>
  <c r="Q46" i="1"/>
  <c r="T46" i="1" s="1"/>
  <c r="Q44" i="1"/>
  <c r="T44" i="1" s="1"/>
  <c r="Q48" i="1"/>
  <c r="T48" i="1" s="1"/>
  <c r="Q43" i="1"/>
  <c r="T43" i="1" s="1"/>
  <c r="Q52" i="1"/>
  <c r="T52" i="1" s="1"/>
  <c r="Q50" i="1"/>
  <c r="T50" i="1" s="1"/>
  <c r="Q54" i="1"/>
  <c r="T54" i="1" s="1"/>
  <c r="Q58" i="1"/>
  <c r="T58" i="1" s="1"/>
  <c r="Q56" i="1"/>
  <c r="T56" i="1" s="1"/>
  <c r="Q73" i="1"/>
  <c r="T73" i="1" s="1"/>
  <c r="Q71" i="1"/>
  <c r="T71" i="1" s="1"/>
  <c r="Q66" i="1"/>
  <c r="T66" i="1" s="1"/>
  <c r="Q62" i="1"/>
  <c r="T62" i="1" s="1"/>
  <c r="Q61" i="1"/>
  <c r="T61" i="1" s="1"/>
  <c r="Q68" i="1"/>
  <c r="T68" i="1" s="1"/>
  <c r="Q67" i="1"/>
  <c r="T67" i="1" s="1"/>
  <c r="Q64" i="1"/>
  <c r="T64" i="1" s="1"/>
  <c r="Q69" i="1"/>
  <c r="T69" i="1" s="1"/>
  <c r="Q63" i="1"/>
  <c r="T63" i="1" s="1"/>
  <c r="Q82" i="1"/>
  <c r="T82" i="1" s="1"/>
  <c r="Q76" i="1"/>
  <c r="T76" i="1" s="1"/>
  <c r="Q81" i="1"/>
  <c r="T81" i="1" s="1"/>
  <c r="Q84" i="1"/>
  <c r="T84" i="1" s="1"/>
  <c r="Q79" i="1"/>
  <c r="T79" i="1" s="1"/>
  <c r="Q88" i="1"/>
  <c r="T88" i="1" s="1"/>
  <c r="Q98" i="1"/>
  <c r="T98" i="1" s="1"/>
  <c r="Q90" i="1"/>
  <c r="T90" i="1" s="1"/>
  <c r="Q92" i="1"/>
  <c r="T92" i="1" s="1"/>
  <c r="Q94" i="1"/>
  <c r="T94" i="1" s="1"/>
  <c r="Q96" i="1"/>
  <c r="T96" i="1" s="1"/>
  <c r="Q104" i="1"/>
  <c r="T104" i="1" s="1"/>
  <c r="Q100" i="1"/>
  <c r="T100" i="1" s="1"/>
  <c r="Q102" i="1"/>
  <c r="T102" i="1" s="1"/>
  <c r="Q114" i="1"/>
  <c r="T114" i="1" s="1"/>
  <c r="Q109" i="1"/>
  <c r="T109" i="1" s="1"/>
  <c r="Q112" i="1"/>
  <c r="T112" i="1" s="1"/>
  <c r="Q106" i="1"/>
  <c r="T106" i="1" s="1"/>
  <c r="Q108" i="1"/>
  <c r="T108" i="1" s="1"/>
  <c r="Q117" i="1"/>
  <c r="T117" i="1" s="1"/>
  <c r="Q119" i="1"/>
  <c r="T119" i="1" s="1"/>
  <c r="Q121" i="1"/>
  <c r="T121" i="1" s="1"/>
  <c r="Q125" i="1"/>
  <c r="T125" i="1" s="1"/>
  <c r="Q124" i="1"/>
  <c r="T124" i="1" s="1"/>
  <c r="Q127" i="1"/>
  <c r="T127" i="1" s="1"/>
  <c r="Q129" i="1"/>
  <c r="T129" i="1" s="1"/>
  <c r="Q133" i="1"/>
  <c r="T133" i="1" s="1"/>
  <c r="Q134" i="1"/>
  <c r="T134" i="1" s="1"/>
  <c r="Q136" i="1"/>
  <c r="T136" i="1" s="1"/>
  <c r="Q142" i="1"/>
  <c r="T142" i="1" s="1"/>
  <c r="Q138" i="1"/>
  <c r="T138" i="1" s="1"/>
  <c r="Q144" i="1"/>
  <c r="T144" i="1" s="1"/>
  <c r="Q140" i="1"/>
  <c r="T140" i="1" s="1"/>
  <c r="Q146" i="1"/>
  <c r="T146" i="1" s="1"/>
  <c r="Q152" i="1"/>
  <c r="T152" i="1" s="1"/>
  <c r="Q151" i="1"/>
  <c r="T151" i="1" s="1"/>
  <c r="Q149" i="1"/>
  <c r="T149" i="1" s="1"/>
  <c r="U149" i="1" l="1"/>
  <c r="V149" i="1" l="1"/>
  <c r="U151" i="1"/>
  <c r="U152" i="1"/>
  <c r="V151" i="1" l="1"/>
  <c r="V152" i="1"/>
  <c r="V146" i="1" l="1"/>
  <c r="U140" i="1"/>
  <c r="U144" i="1"/>
  <c r="U146" i="1" l="1"/>
  <c r="V140" i="1"/>
  <c r="V144" i="1"/>
  <c r="U138" i="1"/>
  <c r="U142" i="1"/>
  <c r="V138" i="1" l="1"/>
  <c r="V142" i="1"/>
  <c r="V136" i="1"/>
  <c r="U136" i="1" l="1"/>
  <c r="U134" i="1"/>
  <c r="U133" i="1"/>
  <c r="V134" i="1" l="1"/>
  <c r="V133" i="1"/>
  <c r="B7" i="12"/>
  <c r="U129" i="1" l="1"/>
  <c r="V125" i="1"/>
  <c r="V124" i="1"/>
  <c r="U127" i="1"/>
  <c r="V129" i="1" l="1"/>
  <c r="U124" i="1"/>
  <c r="U125" i="1"/>
  <c r="V127" i="1"/>
  <c r="U121" i="1" l="1"/>
  <c r="U119" i="1"/>
  <c r="U117" i="1"/>
  <c r="V121" i="1" l="1"/>
  <c r="V119" i="1"/>
  <c r="V117" i="1"/>
  <c r="V108" i="1" l="1"/>
  <c r="U106" i="1"/>
  <c r="U112" i="1"/>
  <c r="U109" i="1"/>
  <c r="U114" i="1"/>
  <c r="U108" i="1" l="1"/>
  <c r="V106" i="1"/>
  <c r="V112" i="1"/>
  <c r="V109" i="1"/>
  <c r="V114" i="1"/>
  <c r="U102" i="1"/>
  <c r="U100" i="1"/>
  <c r="U104" i="1"/>
  <c r="V102" i="1" l="1"/>
  <c r="V100" i="1"/>
  <c r="V104" i="1"/>
  <c r="U96" i="1"/>
  <c r="U94" i="1"/>
  <c r="U92" i="1"/>
  <c r="V90" i="1"/>
  <c r="V98" i="1"/>
  <c r="V96" i="1" l="1"/>
  <c r="V94" i="1"/>
  <c r="V92" i="1"/>
  <c r="U90" i="1"/>
  <c r="U98" i="1"/>
  <c r="V88" i="1"/>
  <c r="U88" i="1" l="1"/>
  <c r="U79" i="1"/>
  <c r="V79" i="1" l="1"/>
  <c r="U84" i="1"/>
  <c r="U81" i="1"/>
  <c r="U76" i="1"/>
  <c r="U82" i="1"/>
  <c r="V84" i="1" l="1"/>
  <c r="V81" i="1"/>
  <c r="C68" i="5" s="1"/>
  <c r="V76" i="1"/>
  <c r="V82" i="1"/>
  <c r="V63" i="1"/>
  <c r="U69" i="1"/>
  <c r="V64" i="1"/>
  <c r="U67" i="1"/>
  <c r="U68" i="1"/>
  <c r="V66" i="1"/>
  <c r="V62" i="1"/>
  <c r="U61" i="1"/>
  <c r="U63" i="1" l="1"/>
  <c r="U64" i="1"/>
  <c r="V69" i="1"/>
  <c r="V67" i="1"/>
  <c r="V68" i="1"/>
  <c r="U66" i="1"/>
  <c r="U62" i="1"/>
  <c r="V61" i="1"/>
  <c r="U71" i="1"/>
  <c r="U73" i="1"/>
  <c r="V71" i="1" l="1"/>
  <c r="V73" i="1"/>
  <c r="Q55" i="1" l="1"/>
  <c r="T55" i="1" s="1"/>
  <c r="U56" i="1"/>
  <c r="U58" i="1"/>
  <c r="V54" i="1"/>
  <c r="G24" i="5" l="1"/>
  <c r="J8" i="1"/>
  <c r="F24" i="5"/>
  <c r="U55" i="1"/>
  <c r="V55" i="1"/>
  <c r="V56" i="1"/>
  <c r="V58" i="1"/>
  <c r="U54" i="1"/>
  <c r="U50" i="1"/>
  <c r="V50" i="1" l="1"/>
  <c r="U52" i="1"/>
  <c r="V52" i="1" l="1"/>
  <c r="V43" i="1"/>
  <c r="U43" i="1" l="1"/>
  <c r="U48" i="1"/>
  <c r="U44" i="1"/>
  <c r="U46" i="1"/>
  <c r="V48" i="1" l="1"/>
  <c r="V44" i="1"/>
  <c r="V46" i="1"/>
  <c r="U38" i="1"/>
  <c r="U40" i="1"/>
  <c r="V38" i="1" l="1"/>
  <c r="V40" i="1"/>
  <c r="B30" i="5"/>
  <c r="D30" i="5" s="1"/>
  <c r="V29" i="1"/>
  <c r="E30" i="5" l="1"/>
  <c r="U29" i="1"/>
  <c r="U35" i="1"/>
  <c r="V35" i="1" l="1"/>
  <c r="U32" i="1" l="1"/>
  <c r="U33" i="1"/>
  <c r="V32" i="1" l="1"/>
  <c r="V33" i="1"/>
  <c r="K2" i="5"/>
  <c r="L2" i="5" l="1"/>
  <c r="K39" i="5"/>
  <c r="K8" i="5"/>
  <c r="K38" i="5"/>
  <c r="K12" i="5"/>
  <c r="K70" i="5"/>
  <c r="K4" i="5"/>
  <c r="K55" i="5"/>
  <c r="K57" i="5"/>
  <c r="K35" i="5"/>
  <c r="K56" i="5"/>
  <c r="K24" i="5"/>
  <c r="K9" i="5"/>
  <c r="K10" i="5"/>
  <c r="K49" i="5"/>
  <c r="K6" i="5"/>
  <c r="K28" i="5"/>
  <c r="K36" i="5"/>
  <c r="K17" i="5"/>
  <c r="K63" i="5"/>
  <c r="K31" i="5"/>
  <c r="K69" i="5"/>
  <c r="K30" i="5"/>
  <c r="K71" i="5"/>
  <c r="K68" i="5"/>
  <c r="K26" i="5"/>
  <c r="K25" i="5"/>
  <c r="K47" i="5"/>
  <c r="K40" i="5"/>
  <c r="K54" i="5"/>
  <c r="K21" i="5"/>
  <c r="K16" i="5"/>
  <c r="K22" i="5"/>
  <c r="K42" i="5"/>
  <c r="K29" i="5"/>
  <c r="K11" i="5"/>
  <c r="K44" i="5"/>
  <c r="K18" i="5"/>
  <c r="K53" i="5"/>
  <c r="K7" i="5"/>
  <c r="K34" i="5"/>
  <c r="K72" i="5"/>
  <c r="K48" i="5"/>
  <c r="K43" i="5"/>
  <c r="K51" i="5"/>
  <c r="K37" i="5"/>
  <c r="K20" i="5"/>
  <c r="K5" i="5"/>
  <c r="K46" i="5"/>
  <c r="K50" i="5"/>
  <c r="K45" i="5"/>
  <c r="K32" i="5"/>
  <c r="M2" i="5" l="1"/>
  <c r="N2" i="5" s="1"/>
  <c r="B5" i="12"/>
  <c r="B6" i="12"/>
  <c r="G67" i="5" s="1"/>
  <c r="L49" i="5"/>
  <c r="L56" i="5"/>
  <c r="L46" i="5"/>
  <c r="L12" i="5"/>
  <c r="L34" i="5"/>
  <c r="L21" i="5"/>
  <c r="L71" i="5"/>
  <c r="L69" i="5"/>
  <c r="L43" i="5"/>
  <c r="L31" i="5"/>
  <c r="L17" i="5"/>
  <c r="L6" i="5"/>
  <c r="L47" i="5"/>
  <c r="L51" i="5"/>
  <c r="L70" i="5"/>
  <c r="L44" i="5"/>
  <c r="L39" i="5"/>
  <c r="L68" i="5"/>
  <c r="L5" i="5"/>
  <c r="L16" i="5"/>
  <c r="L40" i="5"/>
  <c r="L35" i="5"/>
  <c r="L24" i="5"/>
  <c r="L28" i="5"/>
  <c r="L50" i="5"/>
  <c r="L4" i="5"/>
  <c r="L7" i="5"/>
  <c r="L32" i="5"/>
  <c r="L30" i="5"/>
  <c r="L8" i="5"/>
  <c r="L63" i="5"/>
  <c r="L10" i="5"/>
  <c r="L57" i="5"/>
  <c r="L36" i="5"/>
  <c r="L26" i="5"/>
  <c r="L11" i="5"/>
  <c r="L25" i="5"/>
  <c r="L22" i="5"/>
  <c r="L54" i="5"/>
  <c r="L20" i="5"/>
  <c r="L45" i="5"/>
  <c r="L42" i="5"/>
  <c r="L29" i="5"/>
  <c r="L53" i="5"/>
  <c r="L55" i="5"/>
  <c r="L9" i="5"/>
  <c r="L18" i="5"/>
  <c r="L37" i="5"/>
  <c r="L72" i="5"/>
  <c r="L48" i="5"/>
  <c r="L38" i="5"/>
  <c r="H69" i="5" l="1"/>
  <c r="H68" i="5"/>
  <c r="H70" i="5"/>
  <c r="H67" i="5"/>
  <c r="H66" i="5"/>
  <c r="G69" i="5"/>
  <c r="G66" i="5"/>
  <c r="G70" i="5"/>
  <c r="G68" i="5"/>
  <c r="O2" i="5"/>
  <c r="K41" i="5"/>
  <c r="L41" i="5"/>
  <c r="U27" i="1"/>
  <c r="U28" i="1"/>
  <c r="M30" i="5"/>
  <c r="N44" i="5"/>
  <c r="N30" i="5"/>
  <c r="M22" i="5"/>
  <c r="N10" i="5"/>
  <c r="N22" i="5"/>
  <c r="M44" i="5"/>
  <c r="M50" i="5"/>
  <c r="M69" i="5"/>
  <c r="M57" i="5"/>
  <c r="M4" i="5"/>
  <c r="M56" i="5"/>
  <c r="M26" i="5"/>
  <c r="N36" i="5"/>
  <c r="M38" i="5"/>
  <c r="N47" i="5"/>
  <c r="N49" i="5"/>
  <c r="M70" i="5"/>
  <c r="M10" i="5"/>
  <c r="N37" i="5"/>
  <c r="N21" i="5"/>
  <c r="N70" i="5"/>
  <c r="M49" i="5"/>
  <c r="N42" i="5"/>
  <c r="N32" i="5"/>
  <c r="M71" i="5"/>
  <c r="N20" i="5"/>
  <c r="M11" i="5"/>
  <c r="M63" i="5"/>
  <c r="M29" i="5"/>
  <c r="N51" i="5"/>
  <c r="M21" i="5"/>
  <c r="M51" i="5"/>
  <c r="N48" i="5"/>
  <c r="M53" i="5"/>
  <c r="M18" i="5"/>
  <c r="N28" i="5"/>
  <c r="N7" i="5"/>
  <c r="M32" i="5"/>
  <c r="M24" i="5"/>
  <c r="N24" i="5"/>
  <c r="N57" i="5"/>
  <c r="M31" i="5"/>
  <c r="N54" i="5"/>
  <c r="M25" i="5"/>
  <c r="M55" i="5"/>
  <c r="N35" i="5"/>
  <c r="M7" i="5"/>
  <c r="N31" i="5"/>
  <c r="N40" i="5"/>
  <c r="M54" i="5"/>
  <c r="N29" i="5"/>
  <c r="M8" i="5"/>
  <c r="M48" i="5"/>
  <c r="M34" i="5"/>
  <c r="N5" i="5"/>
  <c r="N38" i="5"/>
  <c r="N8" i="5"/>
  <c r="N56" i="5"/>
  <c r="N50" i="5"/>
  <c r="N39" i="5"/>
  <c r="N12" i="5"/>
  <c r="N17" i="5"/>
  <c r="M9" i="5"/>
  <c r="N71" i="5"/>
  <c r="M36" i="5"/>
  <c r="N16" i="5"/>
  <c r="M47" i="5"/>
  <c r="M68" i="5"/>
  <c r="M46" i="5"/>
  <c r="N55" i="5"/>
  <c r="M72" i="5"/>
  <c r="N63" i="5"/>
  <c r="N72" i="5"/>
  <c r="M16" i="5"/>
  <c r="M6" i="5"/>
  <c r="M42" i="5"/>
  <c r="N26" i="5"/>
  <c r="M39" i="5"/>
  <c r="N43" i="5"/>
  <c r="N6" i="5"/>
  <c r="N46" i="5"/>
  <c r="M35" i="5"/>
  <c r="M40" i="5"/>
  <c r="N68" i="5"/>
  <c r="M5" i="5"/>
  <c r="N34" i="5"/>
  <c r="N69" i="5"/>
  <c r="M17" i="5"/>
  <c r="N9" i="5"/>
  <c r="M12" i="5"/>
  <c r="M45" i="5"/>
  <c r="N53" i="5"/>
  <c r="M43" i="5"/>
  <c r="M37" i="5"/>
  <c r="N11" i="5"/>
  <c r="N25" i="5"/>
  <c r="N45" i="5"/>
  <c r="N4" i="5"/>
  <c r="M28" i="5"/>
  <c r="N18" i="5"/>
  <c r="M20" i="5"/>
  <c r="M41" i="5" l="1"/>
  <c r="N41" i="5"/>
  <c r="P2" i="5"/>
  <c r="V28" i="1"/>
  <c r="V27" i="1"/>
  <c r="U24" i="1"/>
  <c r="O16" i="5"/>
  <c r="O38" i="5"/>
  <c r="O45" i="5"/>
  <c r="O40" i="5"/>
  <c r="O25" i="5"/>
  <c r="O54" i="5"/>
  <c r="O69" i="5"/>
  <c r="O47" i="5"/>
  <c r="O18" i="5"/>
  <c r="O11" i="5"/>
  <c r="O36" i="5"/>
  <c r="O6" i="5"/>
  <c r="O9" i="5"/>
  <c r="O26" i="5"/>
  <c r="O8" i="5"/>
  <c r="O51" i="5"/>
  <c r="O55" i="5"/>
  <c r="O70" i="5"/>
  <c r="O46" i="5"/>
  <c r="O31" i="5"/>
  <c r="O24" i="5"/>
  <c r="O5" i="5"/>
  <c r="O12" i="5"/>
  <c r="O20" i="5"/>
  <c r="O71" i="5"/>
  <c r="O68" i="5"/>
  <c r="O57" i="5"/>
  <c r="O49" i="5"/>
  <c r="O22" i="5"/>
  <c r="O56" i="5"/>
  <c r="O48" i="5"/>
  <c r="O44" i="5"/>
  <c r="O32" i="5"/>
  <c r="O37" i="5"/>
  <c r="O4" i="5"/>
  <c r="O7" i="5"/>
  <c r="O50" i="5"/>
  <c r="O17" i="5"/>
  <c r="O29" i="5"/>
  <c r="O28" i="5"/>
  <c r="O10" i="5"/>
  <c r="O21" i="5"/>
  <c r="O63" i="5"/>
  <c r="O43" i="5"/>
  <c r="O53" i="5"/>
  <c r="O72" i="5"/>
  <c r="O39" i="5"/>
  <c r="O35" i="5"/>
  <c r="O30" i="5"/>
  <c r="O42" i="5"/>
  <c r="O34" i="5"/>
  <c r="O41" i="5" l="1"/>
  <c r="V24" i="1"/>
  <c r="A21" i="10"/>
  <c r="A20" i="10"/>
  <c r="A19" i="10"/>
  <c r="A18" i="10"/>
  <c r="A17" i="10"/>
  <c r="A16" i="10"/>
  <c r="A15" i="10"/>
  <c r="A14" i="10"/>
  <c r="A13" i="10"/>
  <c r="A12" i="10"/>
  <c r="A11" i="10"/>
  <c r="P53" i="5"/>
  <c r="P39" i="5"/>
  <c r="P24" i="5"/>
  <c r="P40" i="5"/>
  <c r="P29" i="5"/>
  <c r="P72" i="5"/>
  <c r="P69" i="5"/>
  <c r="P54" i="5"/>
  <c r="P18" i="5"/>
  <c r="P5" i="5"/>
  <c r="P49" i="5"/>
  <c r="P8" i="5"/>
  <c r="P6" i="5"/>
  <c r="P57" i="5"/>
  <c r="P17" i="5"/>
  <c r="P50" i="5"/>
  <c r="P7" i="5"/>
  <c r="P30" i="5"/>
  <c r="P51" i="5"/>
  <c r="P71" i="5"/>
  <c r="P32" i="5"/>
  <c r="P56" i="5"/>
  <c r="P38" i="5"/>
  <c r="P55" i="5"/>
  <c r="P31" i="5"/>
  <c r="P4" i="5"/>
  <c r="P16" i="5"/>
  <c r="P45" i="5"/>
  <c r="P9" i="5"/>
  <c r="P42" i="5"/>
  <c r="P20" i="5"/>
  <c r="P34" i="5"/>
  <c r="P11" i="5"/>
  <c r="P70" i="5"/>
  <c r="P28" i="5"/>
  <c r="P43" i="5"/>
  <c r="P35" i="5"/>
  <c r="P21" i="5"/>
  <c r="P10" i="5"/>
  <c r="P46" i="5"/>
  <c r="P37" i="5"/>
  <c r="P44" i="5"/>
  <c r="P48" i="5"/>
  <c r="P63" i="5"/>
  <c r="P36" i="5"/>
  <c r="P25" i="5"/>
  <c r="P26" i="5"/>
  <c r="P68" i="5"/>
  <c r="P47" i="5"/>
  <c r="P22" i="5"/>
  <c r="P12" i="5"/>
  <c r="P41" i="5" l="1"/>
  <c r="U22" i="1"/>
  <c r="V22" i="1" l="1"/>
  <c r="U19" i="1"/>
  <c r="V19" i="1" l="1"/>
  <c r="U18" i="1"/>
  <c r="V18" i="1" l="1"/>
  <c r="U16" i="1"/>
  <c r="V16" i="1" l="1"/>
  <c r="G3" i="1" l="1"/>
  <c r="H3" i="1" l="1"/>
  <c r="I4" i="1"/>
  <c r="J4" i="1" s="1"/>
  <c r="G4" i="1"/>
  <c r="H4" i="1" s="1"/>
  <c r="I5" i="1" l="1"/>
  <c r="J5" i="1" s="1"/>
  <c r="G5" i="1"/>
  <c r="H5" i="1" s="1"/>
  <c r="F61" i="5"/>
  <c r="I6" i="1" l="1"/>
  <c r="J6" i="1" s="1"/>
  <c r="G6" i="1"/>
  <c r="H6" i="1" s="1"/>
  <c r="B31" i="5"/>
  <c r="C30" i="5"/>
  <c r="I7" i="1" l="1"/>
  <c r="J7" i="1" s="1"/>
  <c r="E31" i="5"/>
  <c r="D31" i="5"/>
  <c r="G7" i="1"/>
  <c r="H7" i="1" s="1"/>
  <c r="B32" i="5"/>
  <c r="C31" i="5"/>
  <c r="H30" i="5"/>
  <c r="G30" i="5"/>
  <c r="O7" i="10"/>
  <c r="E32" i="5" l="1"/>
  <c r="D32" i="5"/>
  <c r="H31" i="5"/>
  <c r="G31" i="5"/>
  <c r="B33" i="5"/>
  <c r="C32" i="5"/>
  <c r="A16" i="5"/>
  <c r="A17" i="5" s="1"/>
  <c r="A18" i="5" s="1"/>
  <c r="A19" i="5" s="1"/>
  <c r="A20" i="5" s="1"/>
  <c r="A21" i="5" s="1"/>
  <c r="A22" i="5" s="1"/>
  <c r="A23" i="5" s="1"/>
  <c r="A24" i="5" s="1"/>
  <c r="A25" i="5" s="1"/>
  <c r="C9" i="10"/>
  <c r="H7" i="9"/>
  <c r="T6" i="6"/>
  <c r="L6" i="6" s="1"/>
  <c r="S6" i="6" s="1"/>
  <c r="T7" i="6"/>
  <c r="L7" i="6" s="1"/>
  <c r="S7" i="6" s="1"/>
  <c r="T8" i="6"/>
  <c r="L8" i="6" s="1"/>
  <c r="S8" i="6" s="1"/>
  <c r="T9" i="6"/>
  <c r="L9" i="6" s="1"/>
  <c r="S9" i="6" s="1"/>
  <c r="T10" i="6"/>
  <c r="L10" i="6" s="1"/>
  <c r="S10" i="6" s="1"/>
  <c r="T11" i="6"/>
  <c r="L11" i="6" s="1"/>
  <c r="S11" i="6" s="1"/>
  <c r="T12" i="6"/>
  <c r="L12" i="6" s="1"/>
  <c r="S12" i="6" s="1"/>
  <c r="T13" i="6"/>
  <c r="L13" i="6" s="1"/>
  <c r="S13" i="6" s="1"/>
  <c r="T14" i="6"/>
  <c r="L14" i="6" s="1"/>
  <c r="S14" i="6" s="1"/>
  <c r="T15" i="6"/>
  <c r="L15" i="6" s="1"/>
  <c r="S15" i="6" s="1"/>
  <c r="T5" i="6"/>
  <c r="L5" i="6" s="1"/>
  <c r="S5" i="6" s="1"/>
  <c r="E33" i="5" l="1"/>
  <c r="D33" i="5"/>
  <c r="H32" i="5"/>
  <c r="I7" i="9"/>
  <c r="A7" i="9"/>
  <c r="H9" i="6" s="1"/>
  <c r="G32" i="5"/>
  <c r="B34" i="5"/>
  <c r="C33" i="5"/>
  <c r="C18" i="10"/>
  <c r="C14" i="10"/>
  <c r="C15" i="10"/>
  <c r="C11" i="10"/>
  <c r="C17" i="10"/>
  <c r="C19" i="10"/>
  <c r="C20" i="10"/>
  <c r="C16" i="10"/>
  <c r="C12" i="10"/>
  <c r="C21" i="10"/>
  <c r="C13" i="10"/>
  <c r="H15" i="5"/>
  <c r="D9" i="10"/>
  <c r="E34" i="5" l="1"/>
  <c r="D34" i="5"/>
  <c r="I9" i="6"/>
  <c r="B35" i="5"/>
  <c r="C34" i="5"/>
  <c r="H33" i="5"/>
  <c r="G33" i="5"/>
  <c r="E9" i="10"/>
  <c r="D18" i="10"/>
  <c r="D14" i="10"/>
  <c r="D19" i="10"/>
  <c r="D15" i="10"/>
  <c r="D11" i="10"/>
  <c r="D20" i="10"/>
  <c r="D16" i="10"/>
  <c r="D12" i="10"/>
  <c r="D21" i="10"/>
  <c r="D17" i="10"/>
  <c r="D13" i="10"/>
  <c r="I5" i="6"/>
  <c r="I13" i="6"/>
  <c r="I7" i="6"/>
  <c r="I15" i="6"/>
  <c r="I8" i="6"/>
  <c r="I11" i="6"/>
  <c r="I14" i="6"/>
  <c r="I12" i="6"/>
  <c r="I6" i="6"/>
  <c r="I10" i="6"/>
  <c r="H5" i="6"/>
  <c r="H13" i="6"/>
  <c r="H15" i="6"/>
  <c r="H6" i="6"/>
  <c r="H14" i="6"/>
  <c r="H11" i="6"/>
  <c r="H8" i="6"/>
  <c r="H10" i="6"/>
  <c r="H12" i="6"/>
  <c r="H7" i="6"/>
  <c r="G5" i="6"/>
  <c r="G13" i="6"/>
  <c r="G14" i="6"/>
  <c r="G6" i="6"/>
  <c r="G7" i="6"/>
  <c r="G15" i="6"/>
  <c r="G8" i="6"/>
  <c r="G9" i="6"/>
  <c r="G10" i="6"/>
  <c r="G11" i="6"/>
  <c r="G12" i="6"/>
  <c r="E35" i="5" l="1"/>
  <c r="D35" i="5"/>
  <c r="Q5" i="6"/>
  <c r="Q11" i="6"/>
  <c r="Q10" i="6"/>
  <c r="Q7" i="6"/>
  <c r="Q15" i="6"/>
  <c r="Q12" i="6"/>
  <c r="Q8" i="6"/>
  <c r="Q14" i="6"/>
  <c r="Q13" i="6"/>
  <c r="Q9" i="6"/>
  <c r="Q6" i="6"/>
  <c r="P10" i="6"/>
  <c r="P7" i="6"/>
  <c r="P15" i="6"/>
  <c r="P5" i="6"/>
  <c r="P12" i="6"/>
  <c r="P14" i="6"/>
  <c r="P8" i="6"/>
  <c r="P13" i="6"/>
  <c r="P9" i="6"/>
  <c r="P11" i="6"/>
  <c r="P6" i="6"/>
  <c r="H34" i="5"/>
  <c r="G34" i="5"/>
  <c r="B36" i="5"/>
  <c r="C35" i="5"/>
  <c r="F9" i="10"/>
  <c r="E19" i="10"/>
  <c r="E15" i="10"/>
  <c r="E11" i="10"/>
  <c r="E12" i="10"/>
  <c r="E20" i="10"/>
  <c r="E16" i="10"/>
  <c r="E21" i="10"/>
  <c r="E17" i="10"/>
  <c r="E13" i="10"/>
  <c r="E18" i="10"/>
  <c r="E14" i="10"/>
  <c r="J13" i="6"/>
  <c r="K13" i="6" s="1"/>
  <c r="N13" i="6"/>
  <c r="M13" i="6"/>
  <c r="J11" i="6"/>
  <c r="K11" i="6" s="1"/>
  <c r="M11" i="6"/>
  <c r="N11" i="6"/>
  <c r="J7" i="6"/>
  <c r="K7" i="6" s="1"/>
  <c r="N7" i="6"/>
  <c r="M7" i="6"/>
  <c r="J8" i="6"/>
  <c r="M8" i="6"/>
  <c r="N8" i="6"/>
  <c r="J10" i="6"/>
  <c r="K10" i="6" s="1"/>
  <c r="M10" i="6"/>
  <c r="N10" i="6"/>
  <c r="J14" i="6"/>
  <c r="K14" i="6" s="1"/>
  <c r="N14" i="6"/>
  <c r="M14" i="6"/>
  <c r="J15" i="6"/>
  <c r="K15" i="6" s="1"/>
  <c r="N15" i="6"/>
  <c r="M15" i="6"/>
  <c r="J6" i="6"/>
  <c r="K6" i="6" s="1"/>
  <c r="N6" i="6"/>
  <c r="M6" i="6"/>
  <c r="J9" i="6"/>
  <c r="K9" i="6" s="1"/>
  <c r="M9" i="6"/>
  <c r="N9" i="6"/>
  <c r="J12" i="6"/>
  <c r="K12" i="6" s="1"/>
  <c r="N12" i="6"/>
  <c r="M12" i="6"/>
  <c r="J5" i="6"/>
  <c r="N5" i="6"/>
  <c r="M5" i="6"/>
  <c r="K13" i="5"/>
  <c r="K60" i="5" s="1"/>
  <c r="M13" i="5"/>
  <c r="M60" i="5" s="1"/>
  <c r="O13" i="5"/>
  <c r="O60" i="5" s="1"/>
  <c r="L13" i="5"/>
  <c r="L60" i="5" s="1"/>
  <c r="P13" i="5"/>
  <c r="P60" i="5" s="1"/>
  <c r="N13" i="5"/>
  <c r="N60" i="5" s="1"/>
  <c r="D70" i="5"/>
  <c r="E70" i="5"/>
  <c r="D7" i="5"/>
  <c r="E36" i="5" l="1"/>
  <c r="D36" i="5"/>
  <c r="R15" i="6"/>
  <c r="R5" i="6"/>
  <c r="R7" i="6"/>
  <c r="R10" i="6"/>
  <c r="R12" i="6"/>
  <c r="R9" i="6"/>
  <c r="R11" i="6"/>
  <c r="R6" i="6"/>
  <c r="R8" i="6"/>
  <c r="R13" i="6"/>
  <c r="R14" i="6"/>
  <c r="H35" i="5"/>
  <c r="F15" i="5"/>
  <c r="G15" i="5"/>
  <c r="H24" i="5"/>
  <c r="G35" i="5"/>
  <c r="B37" i="5"/>
  <c r="C36" i="5"/>
  <c r="G9" i="10"/>
  <c r="F19" i="10"/>
  <c r="F15" i="10"/>
  <c r="F11" i="10"/>
  <c r="F20" i="10"/>
  <c r="F16" i="10"/>
  <c r="F12" i="10"/>
  <c r="F21" i="10"/>
  <c r="F17" i="10"/>
  <c r="F13" i="10"/>
  <c r="F18" i="10"/>
  <c r="F14" i="10"/>
  <c r="H21" i="5"/>
  <c r="O9" i="6"/>
  <c r="O12" i="6"/>
  <c r="O7" i="6"/>
  <c r="O6" i="6"/>
  <c r="O8" i="6"/>
  <c r="O5" i="6"/>
  <c r="O14" i="6"/>
  <c r="O11" i="6"/>
  <c r="O10" i="6"/>
  <c r="O15" i="6"/>
  <c r="O13" i="6"/>
  <c r="K23" i="5"/>
  <c r="U12" i="1"/>
  <c r="U14" i="1"/>
  <c r="H18" i="5" l="1"/>
  <c r="G18" i="5"/>
  <c r="E37" i="5"/>
  <c r="D37" i="5"/>
  <c r="V14" i="1"/>
  <c r="V12" i="1"/>
  <c r="L52" i="5"/>
  <c r="K52" i="5"/>
  <c r="P52" i="5"/>
  <c r="N52" i="5"/>
  <c r="M52" i="5"/>
  <c r="O52" i="5"/>
  <c r="K27" i="5"/>
  <c r="K15" i="5"/>
  <c r="O15" i="5"/>
  <c r="K33" i="5"/>
  <c r="K67" i="5"/>
  <c r="K19" i="5"/>
  <c r="H8" i="1"/>
  <c r="M33" i="5"/>
  <c r="M23" i="5"/>
  <c r="M19" i="5"/>
  <c r="M67" i="5"/>
  <c r="M27" i="5"/>
  <c r="M15" i="5"/>
  <c r="O27" i="5"/>
  <c r="O23" i="5"/>
  <c r="N23" i="5"/>
  <c r="O19" i="5"/>
  <c r="O67" i="5"/>
  <c r="O33" i="5"/>
  <c r="H36" i="5"/>
  <c r="B38" i="5"/>
  <c r="C37" i="5"/>
  <c r="G36" i="5"/>
  <c r="P15" i="5"/>
  <c r="N67" i="5"/>
  <c r="P27" i="5"/>
  <c r="L19" i="5"/>
  <c r="P19" i="5"/>
  <c r="N33" i="5"/>
  <c r="P67" i="5"/>
  <c r="P23" i="5"/>
  <c r="P33" i="5"/>
  <c r="N19" i="5"/>
  <c r="N27" i="5"/>
  <c r="N15" i="5"/>
  <c r="L23" i="5"/>
  <c r="L33" i="5"/>
  <c r="L27" i="5"/>
  <c r="L15" i="5"/>
  <c r="L67" i="5"/>
  <c r="G20" i="10"/>
  <c r="G16" i="10"/>
  <c r="G12" i="10"/>
  <c r="G17" i="10"/>
  <c r="G13" i="10"/>
  <c r="G15" i="10"/>
  <c r="G11" i="10"/>
  <c r="G21" i="10"/>
  <c r="G18" i="10"/>
  <c r="G14" i="10"/>
  <c r="G19" i="10"/>
  <c r="H9" i="10"/>
  <c r="F21" i="5"/>
  <c r="G21" i="5"/>
  <c r="C70" i="5"/>
  <c r="E69" i="5" s="1"/>
  <c r="E38" i="5" l="1"/>
  <c r="D38" i="5"/>
  <c r="O58" i="5"/>
  <c r="O61" i="5" s="1"/>
  <c r="O62" i="5" s="1"/>
  <c r="P58" i="5"/>
  <c r="P61" i="5" s="1"/>
  <c r="P62" i="5" s="1"/>
  <c r="P64" i="5" s="1"/>
  <c r="P73" i="5" s="1"/>
  <c r="K58" i="5"/>
  <c r="K61" i="5" s="1"/>
  <c r="K62" i="5" s="1"/>
  <c r="K64" i="5" s="1"/>
  <c r="K73" i="5" s="1"/>
  <c r="L58" i="5"/>
  <c r="L61" i="5" s="1"/>
  <c r="L62" i="5" s="1"/>
  <c r="N58" i="5"/>
  <c r="N61" i="5" s="1"/>
  <c r="N62" i="5" s="1"/>
  <c r="M58" i="5"/>
  <c r="M61" i="5" s="1"/>
  <c r="M62" i="5" s="1"/>
  <c r="H37" i="5"/>
  <c r="C69" i="5"/>
  <c r="D69" i="5"/>
  <c r="G37" i="5"/>
  <c r="B39" i="5"/>
  <c r="C38" i="5"/>
  <c r="H20" i="10"/>
  <c r="H16" i="10"/>
  <c r="H12" i="10"/>
  <c r="H21" i="10"/>
  <c r="H17" i="10"/>
  <c r="H13" i="10"/>
  <c r="H18" i="10"/>
  <c r="H14" i="10"/>
  <c r="H11" i="10"/>
  <c r="H15" i="10"/>
  <c r="H19" i="10"/>
  <c r="I9" i="10"/>
  <c r="E39" i="5" l="1"/>
  <c r="D39" i="5"/>
  <c r="N64" i="5"/>
  <c r="N73" i="5" s="1"/>
  <c r="O64" i="5"/>
  <c r="O73" i="5" s="1"/>
  <c r="L64" i="5"/>
  <c r="L73" i="5" s="1"/>
  <c r="M64" i="5"/>
  <c r="M73" i="5" s="1"/>
  <c r="G38" i="5"/>
  <c r="H38" i="5"/>
  <c r="B40" i="5"/>
  <c r="C39" i="5"/>
  <c r="I21" i="10"/>
  <c r="I17" i="10"/>
  <c r="I13" i="10"/>
  <c r="I18" i="10"/>
  <c r="I20" i="10"/>
  <c r="I14" i="10"/>
  <c r="I19" i="10"/>
  <c r="I15" i="10"/>
  <c r="I11" i="10"/>
  <c r="I16" i="10"/>
  <c r="I12" i="10"/>
  <c r="J9" i="10"/>
  <c r="E40" i="5" l="1"/>
  <c r="D40" i="5"/>
  <c r="H39" i="5"/>
  <c r="G39" i="5"/>
  <c r="B41" i="5"/>
  <c r="C40" i="5"/>
  <c r="J21" i="10"/>
  <c r="J17" i="10"/>
  <c r="J13" i="10"/>
  <c r="J18" i="10"/>
  <c r="J14" i="10"/>
  <c r="J19" i="10"/>
  <c r="J15" i="10"/>
  <c r="J11" i="10"/>
  <c r="J16" i="10"/>
  <c r="J12" i="10"/>
  <c r="J20" i="10"/>
  <c r="K9" i="10"/>
  <c r="E41" i="5" l="1"/>
  <c r="D41" i="5"/>
  <c r="H40" i="5"/>
  <c r="G40" i="5"/>
  <c r="B42" i="5"/>
  <c r="C41" i="5"/>
  <c r="K18" i="10"/>
  <c r="K14" i="10"/>
  <c r="K11" i="10"/>
  <c r="K19" i="10"/>
  <c r="K15" i="10"/>
  <c r="K17" i="10"/>
  <c r="K13" i="10"/>
  <c r="K20" i="10"/>
  <c r="K16" i="10"/>
  <c r="K12" i="10"/>
  <c r="K21" i="10"/>
  <c r="L9" i="10"/>
  <c r="K8" i="6"/>
  <c r="C25" i="5"/>
  <c r="B25" i="5" s="1"/>
  <c r="D25" i="5" s="1"/>
  <c r="E42" i="5" l="1"/>
  <c r="D42" i="5"/>
  <c r="H41" i="5"/>
  <c r="C15" i="5"/>
  <c r="B15" i="5" s="1"/>
  <c r="D15" i="5" s="1"/>
  <c r="C19" i="5"/>
  <c r="B19" i="5" s="1"/>
  <c r="D19" i="5" s="1"/>
  <c r="C18" i="5"/>
  <c r="B18" i="5" s="1"/>
  <c r="D18" i="5" s="1"/>
  <c r="C20" i="5"/>
  <c r="B20" i="5" s="1"/>
  <c r="D20" i="5" s="1"/>
  <c r="C21" i="5"/>
  <c r="B21" i="5" s="1"/>
  <c r="D21" i="5" s="1"/>
  <c r="C22" i="5"/>
  <c r="B22" i="5" s="1"/>
  <c r="D22" i="5" s="1"/>
  <c r="C23" i="5"/>
  <c r="B23" i="5" s="1"/>
  <c r="D23" i="5" s="1"/>
  <c r="C16" i="5"/>
  <c r="B16" i="5" s="1"/>
  <c r="D16" i="5" s="1"/>
  <c r="C24" i="5"/>
  <c r="B24" i="5" s="1"/>
  <c r="D24" i="5" s="1"/>
  <c r="C17" i="5"/>
  <c r="B17" i="5" s="1"/>
  <c r="D17" i="5" s="1"/>
  <c r="G41" i="5"/>
  <c r="B43" i="5"/>
  <c r="C42" i="5"/>
  <c r="L18" i="10"/>
  <c r="L14" i="10"/>
  <c r="L19" i="10"/>
  <c r="L15" i="10"/>
  <c r="L11" i="10"/>
  <c r="L20" i="10"/>
  <c r="L16" i="10"/>
  <c r="L12" i="10"/>
  <c r="L13" i="10"/>
  <c r="L21" i="10"/>
  <c r="L17" i="10"/>
  <c r="M9" i="10"/>
  <c r="K5" i="6"/>
  <c r="F18" i="5" s="1"/>
  <c r="E43" i="5" l="1"/>
  <c r="D43" i="5"/>
  <c r="H42" i="5"/>
  <c r="G42" i="5"/>
  <c r="B44" i="5"/>
  <c r="C43" i="5"/>
  <c r="M19" i="10"/>
  <c r="M15" i="10"/>
  <c r="M11" i="10"/>
  <c r="M16" i="10"/>
  <c r="M12" i="10"/>
  <c r="M20" i="10"/>
  <c r="M18" i="10"/>
  <c r="M21" i="10"/>
  <c r="M17" i="10"/>
  <c r="M13" i="10"/>
  <c r="M14" i="10"/>
  <c r="N9" i="10"/>
  <c r="E44" i="5" l="1"/>
  <c r="D44" i="5"/>
  <c r="H43" i="5"/>
  <c r="G43" i="5"/>
  <c r="B45" i="5"/>
  <c r="C44" i="5"/>
  <c r="N19" i="10"/>
  <c r="N15" i="10"/>
  <c r="N11" i="10"/>
  <c r="N20" i="10"/>
  <c r="N16" i="10"/>
  <c r="N12" i="10"/>
  <c r="N21" i="10"/>
  <c r="N17" i="10"/>
  <c r="N13" i="10"/>
  <c r="N14" i="10"/>
  <c r="N18" i="10"/>
  <c r="O9" i="10"/>
  <c r="E45" i="5" l="1"/>
  <c r="D45" i="5"/>
  <c r="H44" i="5"/>
  <c r="B46" i="5"/>
  <c r="C45" i="5"/>
  <c r="G44" i="5"/>
  <c r="O20" i="10"/>
  <c r="O16" i="10"/>
  <c r="O12" i="10"/>
  <c r="O21" i="10"/>
  <c r="O17" i="10"/>
  <c r="O13" i="10"/>
  <c r="O19" i="10"/>
  <c r="O11" i="10"/>
  <c r="O18" i="10"/>
  <c r="O14" i="10"/>
  <c r="O15" i="10"/>
  <c r="P9" i="10"/>
  <c r="E46" i="5" l="1"/>
  <c r="D46" i="5"/>
  <c r="H45" i="5"/>
  <c r="G45" i="5"/>
  <c r="B47" i="5"/>
  <c r="C46" i="5"/>
  <c r="P20" i="10"/>
  <c r="P16" i="10"/>
  <c r="P12" i="10"/>
  <c r="P15" i="10"/>
  <c r="P21" i="10"/>
  <c r="P17" i="10"/>
  <c r="P13" i="10"/>
  <c r="P18" i="10"/>
  <c r="P14" i="10"/>
  <c r="P19" i="10"/>
  <c r="P11" i="10"/>
  <c r="Q9" i="10"/>
  <c r="E47" i="5" l="1"/>
  <c r="D47" i="5"/>
  <c r="H46" i="5"/>
  <c r="G46" i="5"/>
  <c r="B48" i="5"/>
  <c r="C47" i="5"/>
  <c r="Q16" i="10"/>
  <c r="Q21" i="10"/>
  <c r="Q17" i="10"/>
  <c r="Q13" i="10"/>
  <c r="Q12" i="10"/>
  <c r="Q20" i="10"/>
  <c r="Q18" i="10"/>
  <c r="Q14" i="10"/>
  <c r="Q19" i="10"/>
  <c r="Q15" i="10"/>
  <c r="Q11" i="10"/>
  <c r="R9" i="10"/>
  <c r="E48" i="5" l="1"/>
  <c r="D48" i="5"/>
  <c r="H47" i="5"/>
  <c r="B49" i="5"/>
  <c r="C48" i="5"/>
  <c r="G47" i="5"/>
  <c r="R21" i="10"/>
  <c r="R17" i="10"/>
  <c r="R13" i="10"/>
  <c r="R18" i="10"/>
  <c r="R14" i="10"/>
  <c r="R19" i="10"/>
  <c r="R15" i="10"/>
  <c r="R11" i="10"/>
  <c r="R16" i="10"/>
  <c r="R12" i="10"/>
  <c r="R20" i="10"/>
  <c r="S9" i="10"/>
  <c r="E49" i="5" l="1"/>
  <c r="D49" i="5"/>
  <c r="H48" i="5"/>
  <c r="G48" i="5"/>
  <c r="B50" i="5"/>
  <c r="C49" i="5"/>
  <c r="S13" i="10"/>
  <c r="S18" i="10"/>
  <c r="S14" i="10"/>
  <c r="S21" i="10"/>
  <c r="S17" i="10"/>
  <c r="S15" i="10"/>
  <c r="S11" i="10"/>
  <c r="S19" i="10"/>
  <c r="S20" i="10"/>
  <c r="S16" i="10"/>
  <c r="S12" i="10"/>
  <c r="T9" i="10"/>
  <c r="E50" i="5" l="1"/>
  <c r="D50" i="5"/>
  <c r="H49" i="5"/>
  <c r="B51" i="5"/>
  <c r="C50" i="5"/>
  <c r="G49" i="5"/>
  <c r="T18" i="10"/>
  <c r="T14" i="10"/>
  <c r="T13" i="10"/>
  <c r="T19" i="10"/>
  <c r="T15" i="10"/>
  <c r="T11" i="10"/>
  <c r="T20" i="10"/>
  <c r="T16" i="10"/>
  <c r="T12" i="10"/>
  <c r="T21" i="10"/>
  <c r="T17" i="10"/>
  <c r="U9" i="10"/>
  <c r="E51" i="5" l="1"/>
  <c r="D51" i="5"/>
  <c r="H50" i="5"/>
  <c r="G50" i="5"/>
  <c r="B52" i="5"/>
  <c r="C51" i="5"/>
  <c r="U19" i="10"/>
  <c r="U15" i="10"/>
  <c r="U11" i="10"/>
  <c r="U16" i="10"/>
  <c r="U18" i="10"/>
  <c r="U14" i="10"/>
  <c r="U20" i="10"/>
  <c r="U12" i="10"/>
  <c r="U21" i="10"/>
  <c r="U17" i="10"/>
  <c r="U13" i="10"/>
  <c r="V9" i="10"/>
  <c r="E52" i="5" l="1"/>
  <c r="D52" i="5"/>
  <c r="H51" i="5"/>
  <c r="B53" i="5"/>
  <c r="C52" i="5"/>
  <c r="G51" i="5"/>
  <c r="V19" i="10"/>
  <c r="V15" i="10"/>
  <c r="V11" i="10"/>
  <c r="V20" i="10"/>
  <c r="V16" i="10"/>
  <c r="V12" i="10"/>
  <c r="V21" i="10"/>
  <c r="V17" i="10"/>
  <c r="V13" i="10"/>
  <c r="V14" i="10"/>
  <c r="V18" i="10"/>
  <c r="W9" i="10"/>
  <c r="E53" i="5" l="1"/>
  <c r="D53" i="5"/>
  <c r="H52" i="5"/>
  <c r="G52" i="5"/>
  <c r="B54" i="5"/>
  <c r="C53" i="5"/>
  <c r="W20" i="10"/>
  <c r="W16" i="10"/>
  <c r="W12" i="10"/>
  <c r="W17" i="10"/>
  <c r="W13" i="10"/>
  <c r="W21" i="10"/>
  <c r="W15" i="10"/>
  <c r="W18" i="10"/>
  <c r="W14" i="10"/>
  <c r="W19" i="10"/>
  <c r="W11" i="10"/>
  <c r="X9" i="10"/>
  <c r="E54" i="5" l="1"/>
  <c r="D54" i="5"/>
  <c r="H53" i="5"/>
  <c r="B55" i="5"/>
  <c r="C54" i="5"/>
  <c r="G53" i="5"/>
  <c r="X20" i="10"/>
  <c r="X16" i="10"/>
  <c r="X12" i="10"/>
  <c r="X21" i="10"/>
  <c r="X17" i="10"/>
  <c r="X13" i="10"/>
  <c r="X11" i="10"/>
  <c r="X18" i="10"/>
  <c r="X14" i="10"/>
  <c r="X19" i="10"/>
  <c r="X15" i="10"/>
  <c r="Y9" i="10"/>
  <c r="E55" i="5" l="1"/>
  <c r="D55" i="5"/>
  <c r="H54" i="5"/>
  <c r="G54" i="5"/>
  <c r="B56" i="5"/>
  <c r="C55" i="5"/>
  <c r="Y21" i="10"/>
  <c r="Y17" i="10"/>
  <c r="Y13" i="10"/>
  <c r="Y14" i="10"/>
  <c r="Y12" i="10"/>
  <c r="Y18" i="10"/>
  <c r="Y20" i="10"/>
  <c r="Y19" i="10"/>
  <c r="Y15" i="10"/>
  <c r="Y11" i="10"/>
  <c r="Y16" i="10"/>
  <c r="Z9" i="10"/>
  <c r="E56" i="5" l="1"/>
  <c r="D56" i="5"/>
  <c r="H55" i="5"/>
  <c r="B57" i="5"/>
  <c r="C56" i="5"/>
  <c r="G55" i="5"/>
  <c r="Z21" i="10"/>
  <c r="Z17" i="10"/>
  <c r="Z13" i="10"/>
  <c r="Z18" i="10"/>
  <c r="Z14" i="10"/>
  <c r="Z12" i="10"/>
  <c r="Z19" i="10"/>
  <c r="Z15" i="10"/>
  <c r="Z11" i="10"/>
  <c r="Z20" i="10"/>
  <c r="Z16" i="10"/>
  <c r="AA9" i="10"/>
  <c r="E57" i="5" l="1"/>
  <c r="D57" i="5"/>
  <c r="H56" i="5"/>
  <c r="G56" i="5"/>
  <c r="B58" i="5"/>
  <c r="C57" i="5"/>
  <c r="AA18" i="10"/>
  <c r="AA14" i="10"/>
  <c r="AA15" i="10"/>
  <c r="AA13" i="10"/>
  <c r="AA19" i="10"/>
  <c r="AA11" i="10"/>
  <c r="AA21" i="10"/>
  <c r="AA20" i="10"/>
  <c r="AA16" i="10"/>
  <c r="AA12" i="10"/>
  <c r="AA17" i="10"/>
  <c r="AB9" i="10"/>
  <c r="E58" i="5" l="1"/>
  <c r="D58" i="5"/>
  <c r="H57" i="5"/>
  <c r="B59" i="5"/>
  <c r="C58" i="5"/>
  <c r="G57" i="5"/>
  <c r="AB18" i="10"/>
  <c r="AB14" i="10"/>
  <c r="AB19" i="10"/>
  <c r="AB15" i="10"/>
  <c r="AB11" i="10"/>
  <c r="AB13" i="10"/>
  <c r="AB20" i="10"/>
  <c r="AB16" i="10"/>
  <c r="AB12" i="10"/>
  <c r="AB21" i="10"/>
  <c r="AB17" i="10"/>
  <c r="AC9" i="10"/>
  <c r="E59" i="5" l="1"/>
  <c r="D59" i="5"/>
  <c r="H58" i="5"/>
  <c r="G58" i="5"/>
  <c r="B60" i="5"/>
  <c r="C59" i="5"/>
  <c r="AC19" i="10"/>
  <c r="AC15" i="10"/>
  <c r="AC11" i="10"/>
  <c r="AC12" i="10"/>
  <c r="AC20" i="10"/>
  <c r="AC16" i="10"/>
  <c r="AC14" i="10"/>
  <c r="AC21" i="10"/>
  <c r="AC17" i="10"/>
  <c r="AC13" i="10"/>
  <c r="AC18" i="10"/>
  <c r="AD9" i="10"/>
  <c r="E60" i="5" l="1"/>
  <c r="E61" i="5" s="1"/>
  <c r="D60" i="5"/>
  <c r="H59" i="5"/>
  <c r="C60" i="5"/>
  <c r="G59" i="5"/>
  <c r="AD19" i="10"/>
  <c r="AD15" i="10"/>
  <c r="AD11" i="10"/>
  <c r="AD20" i="10"/>
  <c r="AD16" i="10"/>
  <c r="AD12" i="10"/>
  <c r="AD14" i="10"/>
  <c r="AD21" i="10"/>
  <c r="AD17" i="10"/>
  <c r="AD13" i="10"/>
  <c r="AD18" i="10"/>
  <c r="AE9" i="10"/>
  <c r="G60" i="5" l="1"/>
  <c r="H60" i="5"/>
  <c r="H61" i="5" s="1"/>
  <c r="D61" i="5"/>
  <c r="AE11" i="10"/>
  <c r="AE20" i="10"/>
  <c r="AE16" i="10"/>
  <c r="AE12" i="10"/>
  <c r="AE13" i="10"/>
  <c r="AE15" i="10"/>
  <c r="AE21" i="10"/>
  <c r="AE17" i="10"/>
  <c r="AE18" i="10"/>
  <c r="AE14" i="10"/>
  <c r="AE19" i="10"/>
  <c r="AF9" i="10"/>
  <c r="AF20" i="10" l="1"/>
  <c r="AF16" i="10"/>
  <c r="AF12" i="10"/>
  <c r="AF11" i="10"/>
  <c r="AF21" i="10"/>
  <c r="AF17" i="10"/>
  <c r="AF13" i="10"/>
  <c r="AF18" i="10"/>
  <c r="AF14" i="10"/>
  <c r="AF19" i="10"/>
  <c r="AF15" i="10"/>
</calcChain>
</file>

<file path=xl/sharedStrings.xml><?xml version="1.0" encoding="utf-8"?>
<sst xmlns="http://schemas.openxmlformats.org/spreadsheetml/2006/main" count="3451" uniqueCount="545">
  <si>
    <t>Descrição</t>
  </si>
  <si>
    <t>Fornecedor</t>
  </si>
  <si>
    <t>Categoria</t>
  </si>
  <si>
    <t>Valor</t>
  </si>
  <si>
    <t>Entrada</t>
  </si>
  <si>
    <t>Vencimento</t>
  </si>
  <si>
    <t>Pagamento</t>
  </si>
  <si>
    <t>Status</t>
  </si>
  <si>
    <t>Financeiro</t>
  </si>
  <si>
    <t>Aluguel</t>
  </si>
  <si>
    <t>Imobiliário</t>
  </si>
  <si>
    <t>RH</t>
  </si>
  <si>
    <t>Serviços</t>
  </si>
  <si>
    <t>Impostos</t>
  </si>
  <si>
    <t>Manutenção</t>
  </si>
  <si>
    <t>Água</t>
  </si>
  <si>
    <t>IPTU</t>
  </si>
  <si>
    <t>Conserto</t>
  </si>
  <si>
    <t>Fardamento</t>
  </si>
  <si>
    <t>Energia</t>
  </si>
  <si>
    <t>CIM</t>
  </si>
  <si>
    <t>Detetização</t>
  </si>
  <si>
    <t>Contabilidade</t>
  </si>
  <si>
    <t>Gás</t>
  </si>
  <si>
    <t>Material Limpeza</t>
  </si>
  <si>
    <t>Salários</t>
  </si>
  <si>
    <t>Telefone e Internet</t>
  </si>
  <si>
    <t>Segurança</t>
  </si>
  <si>
    <t>Benefícios</t>
  </si>
  <si>
    <t>Taxa Bombeiro</t>
  </si>
  <si>
    <t>Outras Taxas</t>
  </si>
  <si>
    <t>Transporte</t>
  </si>
  <si>
    <t>Rescisão</t>
  </si>
  <si>
    <t>Subcategoria</t>
  </si>
  <si>
    <t>Consumo</t>
  </si>
  <si>
    <t>Emissão Lucros</t>
  </si>
  <si>
    <t>INSS</t>
  </si>
  <si>
    <t>FGTS</t>
  </si>
  <si>
    <t>FGTS Rescisório</t>
  </si>
  <si>
    <t>Exames</t>
  </si>
  <si>
    <t>Limpeza Caixa D'água</t>
  </si>
  <si>
    <t>Jurídico</t>
  </si>
  <si>
    <t>Taxas Bancárias</t>
  </si>
  <si>
    <t>Dinheiro</t>
  </si>
  <si>
    <t>Crédito</t>
  </si>
  <si>
    <t>Débito</t>
  </si>
  <si>
    <t>Cheque</t>
  </si>
  <si>
    <t>Transferência Bancária</t>
  </si>
  <si>
    <t>Material de Construção</t>
  </si>
  <si>
    <t>Reforma</t>
  </si>
  <si>
    <t>Serviços de Obra</t>
  </si>
  <si>
    <t>Modo Pagamento</t>
  </si>
  <si>
    <t>Cancelar</t>
  </si>
  <si>
    <t>Sim</t>
  </si>
  <si>
    <t>Prorrogar</t>
  </si>
  <si>
    <t>Outros Serviços</t>
  </si>
  <si>
    <t>Despesa</t>
  </si>
  <si>
    <t>Aportar</t>
  </si>
  <si>
    <t>Aportado</t>
  </si>
  <si>
    <t>Sócio</t>
  </si>
  <si>
    <t>Responsável</t>
  </si>
  <si>
    <t>Tipo</t>
  </si>
  <si>
    <t>Aporte</t>
  </si>
  <si>
    <t>Matheus</t>
  </si>
  <si>
    <t>Bruno</t>
  </si>
  <si>
    <t>Luiz Tiago</t>
  </si>
  <si>
    <t>pagamento Dominio.br</t>
  </si>
  <si>
    <t>INPI</t>
  </si>
  <si>
    <t>dominio.br</t>
  </si>
  <si>
    <t>Registro de Marca</t>
  </si>
  <si>
    <t>Próximas Despesas</t>
  </si>
  <si>
    <t>Vencido</t>
  </si>
  <si>
    <t>Reembolso</t>
  </si>
  <si>
    <t>Registro domínio WEB</t>
  </si>
  <si>
    <t>Unidade</t>
  </si>
  <si>
    <t>U1C1</t>
  </si>
  <si>
    <t>U1C2</t>
  </si>
  <si>
    <t>U1C3</t>
  </si>
  <si>
    <t>U1C4</t>
  </si>
  <si>
    <t>U1C5</t>
  </si>
  <si>
    <t>U1C6</t>
  </si>
  <si>
    <t>U1C7</t>
  </si>
  <si>
    <t>U1C8</t>
  </si>
  <si>
    <t>U1C9</t>
  </si>
  <si>
    <t>CPF/CNPJ</t>
  </si>
  <si>
    <t>Fim do Contrato</t>
  </si>
  <si>
    <t>Início Contrato</t>
  </si>
  <si>
    <t>Mês Referência</t>
  </si>
  <si>
    <t>Juros e Multas</t>
  </si>
  <si>
    <t>Receita</t>
  </si>
  <si>
    <t>Despesas</t>
  </si>
  <si>
    <t>Receitas</t>
  </si>
  <si>
    <t>Financeira</t>
  </si>
  <si>
    <t>Indenização</t>
  </si>
  <si>
    <t>Consultoria</t>
  </si>
  <si>
    <t>Licenças</t>
  </si>
  <si>
    <t>EBITDA</t>
  </si>
  <si>
    <t>SIMPLES</t>
  </si>
  <si>
    <t>Saldo</t>
  </si>
  <si>
    <t>Resultado</t>
  </si>
  <si>
    <t>Indicadores</t>
  </si>
  <si>
    <t>Rótulos de Linha</t>
  </si>
  <si>
    <t>Total Geral</t>
  </si>
  <si>
    <t>Rótulos de Coluna</t>
  </si>
  <si>
    <t>Aportes</t>
  </si>
  <si>
    <t>Boleto</t>
  </si>
  <si>
    <t>Locatário</t>
  </si>
  <si>
    <t>Simples</t>
  </si>
  <si>
    <t>Classificação</t>
  </si>
  <si>
    <t>Outros</t>
  </si>
  <si>
    <t>Valor Real</t>
  </si>
  <si>
    <t>Soma de Valor Real</t>
  </si>
  <si>
    <t>m²</t>
  </si>
  <si>
    <t>Inadimplência Total</t>
  </si>
  <si>
    <t>Inadimplência 2 Meses</t>
  </si>
  <si>
    <t>Inadimplentes</t>
  </si>
  <si>
    <t>UNID</t>
  </si>
  <si>
    <t>Dívida Total</t>
  </si>
  <si>
    <t>Contratante Atual</t>
  </si>
  <si>
    <t>Duração Contrato</t>
  </si>
  <si>
    <t>Meses Usados</t>
  </si>
  <si>
    <t>Meses p/ Expirar</t>
  </si>
  <si>
    <t>Meses Pagos</t>
  </si>
  <si>
    <t>Meses em Aberto</t>
  </si>
  <si>
    <t>Preço Atual</t>
  </si>
  <si>
    <t>Dívidas ex-Juros Multa</t>
  </si>
  <si>
    <t>Telefone</t>
  </si>
  <si>
    <t>e-mail</t>
  </si>
  <si>
    <t>Período Inicial</t>
  </si>
  <si>
    <t>Período Final</t>
  </si>
  <si>
    <t>Endereço</t>
  </si>
  <si>
    <t>Situação</t>
  </si>
  <si>
    <t>Valor Mensal</t>
  </si>
  <si>
    <t>Conflito</t>
  </si>
  <si>
    <t>Conc_UNID_Stat</t>
  </si>
  <si>
    <t>Data Inicial</t>
  </si>
  <si>
    <t>Unidades</t>
  </si>
  <si>
    <t>Buscar Data</t>
  </si>
  <si>
    <t>Reservas Futuras</t>
  </si>
  <si>
    <t>Mapa de Contratos</t>
  </si>
  <si>
    <t>Início</t>
  </si>
  <si>
    <t>Fim</t>
  </si>
  <si>
    <t>Dia</t>
  </si>
  <si>
    <t>Créditos</t>
  </si>
  <si>
    <t>Débitos</t>
  </si>
  <si>
    <t>Fundos</t>
  </si>
  <si>
    <t>Simular</t>
  </si>
  <si>
    <t>Fluxo Diário</t>
  </si>
  <si>
    <t>Data</t>
  </si>
  <si>
    <t>Feriado</t>
  </si>
  <si>
    <t>Carnaval</t>
  </si>
  <si>
    <t>Tiradentes</t>
  </si>
  <si>
    <t>Pascoa</t>
  </si>
  <si>
    <t>Carta Magna</t>
  </si>
  <si>
    <t>Trabalho</t>
  </si>
  <si>
    <t>São João</t>
  </si>
  <si>
    <t>Independência</t>
  </si>
  <si>
    <t>Nossa Senhora</t>
  </si>
  <si>
    <t>Finados</t>
  </si>
  <si>
    <t>Natal</t>
  </si>
  <si>
    <t>Ano Novo</t>
  </si>
  <si>
    <t>República</t>
  </si>
  <si>
    <t>Comemoração</t>
  </si>
  <si>
    <t>Vencimento Útil</t>
  </si>
  <si>
    <t>Inadimplência 1 Mês</t>
  </si>
  <si>
    <t>Reconhecimento de Firma para contrato de aluguel</t>
  </si>
  <si>
    <t>Tabelionato Figueiredo</t>
  </si>
  <si>
    <t>Reconhecimento de firma para contrato de aluguel</t>
  </si>
  <si>
    <t>CADBlocks</t>
  </si>
  <si>
    <t>CADBlocos.arq</t>
  </si>
  <si>
    <t>Arquiteta Entrada 50%</t>
  </si>
  <si>
    <t>Alessandra Moura</t>
  </si>
  <si>
    <t>IPTU 08.2020</t>
  </si>
  <si>
    <t>Prefeitura do Recife</t>
  </si>
  <si>
    <t>U1C10</t>
  </si>
  <si>
    <t>U1C11</t>
  </si>
  <si>
    <t>Limpeza de Dutos</t>
  </si>
  <si>
    <t>Energia Vacante</t>
  </si>
  <si>
    <t>Cartório</t>
  </si>
  <si>
    <t>Venda de Ativos</t>
  </si>
  <si>
    <t>Taxa de Manutenção</t>
  </si>
  <si>
    <t>Taxa Manutenção</t>
  </si>
  <si>
    <t>Caio Almeida</t>
  </si>
  <si>
    <t>56% do pagamento planejado para o dia 2/10 - Obra</t>
  </si>
  <si>
    <t>22% do pagamento planejado para o dia 2/10 - Obra</t>
  </si>
  <si>
    <t>Custo. Opc. Vacância</t>
  </si>
  <si>
    <t>Cont. 2 Meses p/  Expirar</t>
  </si>
  <si>
    <t>Cont. 1 Mês p/  Expirar</t>
  </si>
  <si>
    <t>Alugados</t>
  </si>
  <si>
    <t>Vacantes</t>
  </si>
  <si>
    <t>Referência</t>
  </si>
  <si>
    <t>Data Início</t>
  </si>
  <si>
    <t>Domínio Website</t>
  </si>
  <si>
    <t>Rank</t>
  </si>
  <si>
    <t>Resultado Financeiro</t>
  </si>
  <si>
    <t>Gráfica e Publicidade</t>
  </si>
  <si>
    <t>Taxas de Cartão</t>
  </si>
  <si>
    <t>Mobiliário</t>
  </si>
  <si>
    <t>Vencimento de Contratos</t>
  </si>
  <si>
    <t>Data Término</t>
  </si>
  <si>
    <t>Dias p/ Expirar</t>
  </si>
  <si>
    <t>Participação</t>
  </si>
  <si>
    <t>Dashboard</t>
  </si>
  <si>
    <t>Resultado Financeiro e Indicadores</t>
  </si>
  <si>
    <r>
      <t xml:space="preserve">Indicadores - </t>
    </r>
    <r>
      <rPr>
        <b/>
        <sz val="24"/>
        <color rgb="FFFFF9E7"/>
        <rFont val="Calibri"/>
        <family val="2"/>
        <scheme val="minor"/>
      </rPr>
      <t>Mês Atual</t>
    </r>
  </si>
  <si>
    <r>
      <t xml:space="preserve">Fluxo de Caixa Próximos 30 dias - </t>
    </r>
    <r>
      <rPr>
        <b/>
        <sz val="24"/>
        <color rgb="FFFFF9E7"/>
        <rFont val="Calibri"/>
        <family val="2"/>
        <scheme val="minor"/>
      </rPr>
      <t>Previsão</t>
    </r>
  </si>
  <si>
    <t>Resultado 30 dias</t>
  </si>
  <si>
    <t>Saldo em Conta</t>
  </si>
  <si>
    <t>50% do pagamento da ceramica 45x45 para o piso</t>
  </si>
  <si>
    <t>Piso e CIA</t>
  </si>
  <si>
    <t>IPTU 09.2020</t>
  </si>
  <si>
    <t>25% do pagamento planejado para o dia 9/10 - Obra</t>
  </si>
  <si>
    <t>Valor Fluxo</t>
  </si>
  <si>
    <t>50% do pagamento planejado para o dia 9/10 - Obra</t>
  </si>
  <si>
    <t>50% do pagamento planejado para o dia 16/10 - Obra</t>
  </si>
  <si>
    <t>25% do pagamento planejado para o dia 16/10 - Obra</t>
  </si>
  <si>
    <t>JUCEPE</t>
  </si>
  <si>
    <t>DAE Abertura Firma JUCEPE</t>
  </si>
  <si>
    <t>Manutenção Prev.</t>
  </si>
  <si>
    <t>Taxa Manutenção Vac.</t>
  </si>
  <si>
    <t>50% do pagamento planejado para o dia 23/10 - Obra</t>
  </si>
  <si>
    <t>25% do pagamento planejado para o dia 23/10 - Obra</t>
  </si>
  <si>
    <t>Go Kitchen</t>
  </si>
  <si>
    <t>Taxa de Mobilização</t>
  </si>
  <si>
    <t>40% do serviço de Licenciamento da Obra</t>
  </si>
  <si>
    <t>30% do serviço de Licenciamento da Obra</t>
  </si>
  <si>
    <t>Vera Gouveia</t>
  </si>
  <si>
    <t>Aluguel Madalena</t>
  </si>
  <si>
    <t>Remuneração Mensal</t>
  </si>
  <si>
    <t>Taxa de Serviços</t>
  </si>
  <si>
    <t>Aluguel de Equipamento</t>
  </si>
  <si>
    <t>Taxa de Serviço</t>
  </si>
  <si>
    <t>COMPESA</t>
  </si>
  <si>
    <t>Conta de água 9.2020 - Valor pago dentro do debito de 11.2016 a 10.2020 considerou-se a tarifa minima (R$100)</t>
  </si>
  <si>
    <t>Conta de água 10.2020 - Valor pago dentro do debito de 11.2016 a 10.2020 considerou-se a tarifa minima (R$100)</t>
  </si>
  <si>
    <t>50% do pagamento planejado para o dia 30/10 - Obra</t>
  </si>
  <si>
    <t>25% do pagamento planejado para o dia 30/10 - Obra</t>
  </si>
  <si>
    <t>Arquiteta Quitação 50% Projeto</t>
  </si>
  <si>
    <t>50% do Adendo ao Projeto</t>
  </si>
  <si>
    <t>50% do Serviço de Projeto de Licenciamento de Obras</t>
  </si>
  <si>
    <t>R$100 do Boleto Teste CORA</t>
  </si>
  <si>
    <t>Recife Licenciamentos</t>
  </si>
  <si>
    <t>Planeta Água Express</t>
  </si>
  <si>
    <t>Caminhão Pipa para suprir Falta de Água da Compesa</t>
  </si>
  <si>
    <t>2 caixas de água 1000 Litros</t>
  </si>
  <si>
    <t>Recebido/ Reembolso</t>
  </si>
  <si>
    <t>IPTU 10.2020</t>
  </si>
  <si>
    <t>Arquiteta aditivo e pagamento do engenheiro para o licenciamento, valor foi pago integralmente por Bruno (R$2100) que faz  um reembolso com esse aporte</t>
  </si>
  <si>
    <t>Arquiteta aditivo e pagamento do engenheiro para o licenciamento, valor foi pago integralmente por Bruno (R$2100) que faz  um reembolso com esse aporte, o comprovante de R$642,51 possui outro valor de ordem pessoal de Luiz Tiago para Bruno</t>
  </si>
  <si>
    <t>CREA</t>
  </si>
  <si>
    <t>ART do CREA para legalização da OBRA</t>
  </si>
  <si>
    <t>Taxa para alvará de pequenas obras da prefeitura</t>
  </si>
  <si>
    <t>O GUIA</t>
  </si>
  <si>
    <t>Armazem 4 Quantos</t>
  </si>
  <si>
    <t>Aurivan Ferragens</t>
  </si>
  <si>
    <t>Armazem São João</t>
  </si>
  <si>
    <t>Material de Construção - Brita</t>
  </si>
  <si>
    <t>Material de Construção - Tijolos 1 Milheiro</t>
  </si>
  <si>
    <t>Material de Construção - Cimento e Graut</t>
  </si>
  <si>
    <t>Material de Obra - Ferragens para pilares</t>
  </si>
  <si>
    <t>Certificado Digital</t>
  </si>
  <si>
    <t>Online Certificadora</t>
  </si>
  <si>
    <t>25% do pagamento planejado para o dia 7/11 - Obra</t>
  </si>
  <si>
    <t>50% do pagamento planejado para o dia 7/11 - Obra</t>
  </si>
  <si>
    <t>Ferragens para Caixa Dágua</t>
  </si>
  <si>
    <t>Cimento Obra</t>
  </si>
  <si>
    <t>2000 Tijolos</t>
  </si>
  <si>
    <t>25% do pagamento planejado para o dia 13/11 - Obra</t>
  </si>
  <si>
    <t>50% do pagamento planejado para o dia 13/11 - Obra</t>
  </si>
  <si>
    <t>25% do pagamento planejado para o dia 20/11 - Obra</t>
  </si>
  <si>
    <t>50% do pagamento planejado para o dia 20/11 - Obra</t>
  </si>
  <si>
    <t>Material de Obra - Ferragens, Tijolos, Brita, Areia, Serra</t>
  </si>
  <si>
    <t>Grupo SEG</t>
  </si>
  <si>
    <t>Registro.br</t>
  </si>
  <si>
    <t>25% do pagamento DA 2º parcela (R$1250) para o licenciamento da obra do prado</t>
  </si>
  <si>
    <t>50% do pagamento DA 2º parcela (R$1250) para o licenciamento da obra do prado</t>
  </si>
  <si>
    <t>Conta de Água da casa do PRADO referente ao mês de Novembro de 2020</t>
  </si>
  <si>
    <t>DAE JUCEPE para 1ª alteração do contrato social por conta do CNAE que não se enquadrou no SIMPLES</t>
  </si>
  <si>
    <t>Ferragens para cinturão construção externa.</t>
  </si>
  <si>
    <t>Madereira São judas</t>
  </si>
  <si>
    <t>Madeiras para escorar o concretamento da laje das caixas d'agua</t>
  </si>
  <si>
    <t>Pregos diversos tamanhos</t>
  </si>
  <si>
    <t>Cimento 50 sacos</t>
  </si>
  <si>
    <t>Ferreira Costa</t>
  </si>
  <si>
    <t>Vedacit - Mistura para argamassa + Joelho Esgoto TIGRE 10CM</t>
  </si>
  <si>
    <t>Arquiteta Quitação 50% Projeto + 50% do Adendo ao Projeto</t>
  </si>
  <si>
    <t>49% do pagamento planejado para o dia 27/11 - Obra</t>
  </si>
  <si>
    <t>35% do pagamento planejado para o dia 27/11 - Obra</t>
  </si>
  <si>
    <t>16% do pagamento planejado para o dia 27/11 - Obra</t>
  </si>
  <si>
    <t>Integralização para a Semana 27/11 + Arquiteta + Licenças na Conta Go Kitchen</t>
  </si>
  <si>
    <t>Armazen 224</t>
  </si>
  <si>
    <t>Ferreira Pinto</t>
  </si>
  <si>
    <t>Cimento 100 Sacos</t>
  </si>
  <si>
    <t>AMD Distribuidora</t>
  </si>
  <si>
    <t>Conexões da Hidraulica de Esgoto</t>
  </si>
  <si>
    <t>49% do pagamento dos canos para egosto</t>
  </si>
  <si>
    <t>51% do pagamento dos canos para egosto</t>
  </si>
  <si>
    <t>Saldo da compra DE75 de conexões da Hidraulica de Esgoto, informaram preço errado e depois cobraram</t>
  </si>
  <si>
    <t>36% do pagamento planejado para o dia 4/12 - Obra</t>
  </si>
  <si>
    <t>25% do pagamento planejado para o dia 4/12 - Obra</t>
  </si>
  <si>
    <t>14% do pagamento planejado para o dia 4/12 - Obra</t>
  </si>
  <si>
    <t>Nakko Sushi</t>
  </si>
  <si>
    <t>Resultado OPERACIONAL</t>
  </si>
  <si>
    <t>Pagador</t>
  </si>
  <si>
    <t>Empréstimo</t>
  </si>
  <si>
    <t>Investidor</t>
  </si>
  <si>
    <t>Recebedor</t>
  </si>
  <si>
    <t>Atividade</t>
  </si>
  <si>
    <t>Contato</t>
  </si>
  <si>
    <t>Obs</t>
  </si>
  <si>
    <t>Engenharia</t>
  </si>
  <si>
    <t>Orgão Governamental</t>
  </si>
  <si>
    <t>Licenciamento</t>
  </si>
  <si>
    <t>Distribuição Água</t>
  </si>
  <si>
    <t>Arquitetura</t>
  </si>
  <si>
    <t>Certificação Digital</t>
  </si>
  <si>
    <t>RS Hidráulica</t>
  </si>
  <si>
    <t>Software</t>
  </si>
  <si>
    <t>André Lins</t>
  </si>
  <si>
    <t>Data Entrada</t>
  </si>
  <si>
    <t>Kitchen</t>
  </si>
  <si>
    <t>Movimentações</t>
  </si>
  <si>
    <t>Taxa Mobilização</t>
  </si>
  <si>
    <t>Receitas Vencidos</t>
  </si>
  <si>
    <t>Despesas Vencidas</t>
  </si>
  <si>
    <t>100 sacos de cimento para obra</t>
  </si>
  <si>
    <t>Negócio</t>
  </si>
  <si>
    <t>Madalena</t>
  </si>
  <si>
    <t>Areia e CAO</t>
  </si>
  <si>
    <t>CA Reformas</t>
  </si>
  <si>
    <t>Alessandra</t>
  </si>
  <si>
    <t>Bruno Gouveia</t>
  </si>
  <si>
    <t>Matheus Willcox</t>
  </si>
  <si>
    <t>Luiz Tiago Oliveira</t>
  </si>
  <si>
    <t>Aluguel Imóvel</t>
  </si>
  <si>
    <t>http://www.compesa.com.br</t>
  </si>
  <si>
    <t>CELPE</t>
  </si>
  <si>
    <t>Distribuição Energia</t>
  </si>
  <si>
    <t>COPERGAS</t>
  </si>
  <si>
    <t>Distribuição Gás</t>
  </si>
  <si>
    <t>http://www.celpe.com.br</t>
  </si>
  <si>
    <t>Lucas</t>
  </si>
  <si>
    <t>http://dominio.br</t>
  </si>
  <si>
    <t>http://www.inpi.gov.br</t>
  </si>
  <si>
    <t>Cadastro</t>
  </si>
  <si>
    <t>CPF</t>
  </si>
  <si>
    <t>RG</t>
  </si>
  <si>
    <t>Cargo</t>
  </si>
  <si>
    <t>Data Contratação</t>
  </si>
  <si>
    <t>Data Desligamento</t>
  </si>
  <si>
    <t>Salário Base</t>
  </si>
  <si>
    <t>Funcionário</t>
  </si>
  <si>
    <t>CNPJ/CPF</t>
  </si>
  <si>
    <t>Aniversário</t>
  </si>
  <si>
    <t>CTPS</t>
  </si>
  <si>
    <t>Limite Férias</t>
  </si>
  <si>
    <t>Teichi</t>
  </si>
  <si>
    <t>Saulo Oliveira</t>
  </si>
  <si>
    <t>Ivson Briano</t>
  </si>
  <si>
    <t>Valor para completar o que tem em conta e pagar André</t>
  </si>
  <si>
    <t>Segurança Privada</t>
  </si>
  <si>
    <t>Mensalidade 1 de 12 ano 1</t>
  </si>
  <si>
    <t>Mensalidade 2 de 12 ano 1</t>
  </si>
  <si>
    <t>Mensalidade 3 de 12 ano 1</t>
  </si>
  <si>
    <t>Mensalidade 4 de 12 ano 1</t>
  </si>
  <si>
    <t>Mensalidade 5 de 12 ano 1</t>
  </si>
  <si>
    <t>Mensalidade 6 de 12 ano 1</t>
  </si>
  <si>
    <t>Mensalidade 7 de 12 ano 1</t>
  </si>
  <si>
    <t>Mensalidade 8 de 12 ano 1</t>
  </si>
  <si>
    <t>Mensalidade 9 de 12 ano 1</t>
  </si>
  <si>
    <t>Mensalidade 10 de 12 ano 1</t>
  </si>
  <si>
    <t>Mensalidade 11 de 12 ano 1</t>
  </si>
  <si>
    <t>Mensalidade 12 de 12 ano 1</t>
  </si>
  <si>
    <t>R$1.000 da taxa de Mobilização para a Nokko Sushi de Saulo. Falta R$2000 para quitar a reserva</t>
  </si>
  <si>
    <t>Próximas Receitas</t>
  </si>
  <si>
    <t>Alarme Madalena</t>
  </si>
  <si>
    <t>Capita Social e Investimentos</t>
  </si>
  <si>
    <t>Taxa de Instalação do sistema de segurança</t>
  </si>
  <si>
    <t>pagamento da semana 11/12</t>
  </si>
  <si>
    <t>GRU Manifestação sobre Oposição</t>
  </si>
  <si>
    <t>25% do pagamento planejado para o dia 18/12 - Obra</t>
  </si>
  <si>
    <t>Comercial VEGA</t>
  </si>
  <si>
    <t>7 Tubos de PVC 75mm</t>
  </si>
  <si>
    <t>Ferragens</t>
  </si>
  <si>
    <t>Pago</t>
  </si>
  <si>
    <t>50% do pagamento planejado para o dia 18/12 - Obra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</si>
  <si>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</si>
  <si>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</si>
  <si>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</si>
  <si>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</si>
  <si>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</si>
  <si>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</si>
  <si>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</si>
  <si>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</si>
  <si>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</si>
  <si>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</si>
  <si>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</si>
  <si>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</si>
  <si>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Medição</t>
  </si>
  <si>
    <t>Mão de Obra</t>
  </si>
  <si>
    <t>Extra</t>
  </si>
  <si>
    <t>Equipamento</t>
  </si>
  <si>
    <t>Parte 1</t>
  </si>
  <si>
    <t>Parte 2</t>
  </si>
  <si>
    <t>Orçado - Mão de Obra</t>
  </si>
  <si>
    <t>Custos Extras</t>
  </si>
  <si>
    <t>Amaderamento Telhado, Serralharia e Pilares</t>
  </si>
  <si>
    <t>Reembolso Material semanas 01/01/21 a 08/01/2021</t>
  </si>
  <si>
    <t>100% do pagamento planejado para o dia 01/01/21 - Obra</t>
  </si>
  <si>
    <t>Semana 13</t>
  </si>
  <si>
    <t>Semana 14</t>
  </si>
  <si>
    <t>Semana 15</t>
  </si>
  <si>
    <t>Semana 16</t>
  </si>
  <si>
    <t>Semana 17</t>
  </si>
  <si>
    <t>Aporte do Juros da mensalidade da segurança eletronica</t>
  </si>
  <si>
    <t>Aporte da Segurança Eletronica</t>
  </si>
  <si>
    <t>Juros da Segurança Eletronica</t>
  </si>
  <si>
    <t>28% do Pagamento da Semana 15/01/21 - Obra</t>
  </si>
  <si>
    <t>Freteiro Paudalho</t>
  </si>
  <si>
    <t>Transportes das ceramicas de Carpina para a Obra (fornecedor pequeno pago em dinheiro sem nota)</t>
  </si>
  <si>
    <t>CIM 1.2021</t>
  </si>
  <si>
    <t>26% do pagamento planejado para o dia 22/12 - Obra</t>
  </si>
  <si>
    <t>37% do pagamento planejado para o dia 22/12 - Obra</t>
  </si>
  <si>
    <t>12% do pagamento planejado para o dia 22/12 - Obra</t>
  </si>
  <si>
    <t>BS Consultoria</t>
  </si>
  <si>
    <t>50% do projeto eletrico</t>
  </si>
  <si>
    <t>GRU Manifestação sobre Oposição - Nova petição por falha na primeira</t>
  </si>
  <si>
    <t>44% do Pagamento da Semana 15/01 - Obra</t>
  </si>
  <si>
    <t>Semana 1 - Etapa 3</t>
  </si>
  <si>
    <t>Semana 2 - Etapa 3</t>
  </si>
  <si>
    <t>Semana 1-3</t>
  </si>
  <si>
    <t>Mensalidade 2 de 12 ano 1 - Alarme</t>
  </si>
  <si>
    <t>Mensalidade 3 de 12 ano 1 - Alarme</t>
  </si>
  <si>
    <t>Juros Mensalidade 2 de 12 ano 1 - Alarme</t>
  </si>
  <si>
    <t>Juros Mensalidade 2 de 12 ano 1 - Alarme - Grupo Seg</t>
  </si>
  <si>
    <t>Compesa</t>
  </si>
  <si>
    <t>Compesa Dezembro 2020</t>
  </si>
  <si>
    <t>460m² de piso 1ª Parte</t>
  </si>
  <si>
    <t>460m² de piso 2ª Parte</t>
  </si>
  <si>
    <t>IPTU 1.2021</t>
  </si>
  <si>
    <t>IPTU 2.2021</t>
  </si>
  <si>
    <t>Semana 3 - Etapa 3</t>
  </si>
  <si>
    <t>Semana 2-3</t>
  </si>
  <si>
    <t>Semana 3-3</t>
  </si>
  <si>
    <t>50% da entrada de Ivson e Teichi</t>
  </si>
  <si>
    <t>Etapa 5 parte 3</t>
  </si>
  <si>
    <t>Semana 3-4</t>
  </si>
  <si>
    <t>Semana 3-5</t>
  </si>
  <si>
    <t>Conta de Água referencia 02/2020</t>
  </si>
  <si>
    <t>Conta de Água referencia 03/2020</t>
  </si>
  <si>
    <t>Eletrica</t>
  </si>
  <si>
    <t>Hidraulica - água</t>
  </si>
  <si>
    <t>Hidraulica - Esgoto</t>
  </si>
  <si>
    <t>Grade</t>
  </si>
  <si>
    <t>PVC</t>
  </si>
  <si>
    <t>Lógica</t>
  </si>
  <si>
    <t>Caixa D'agua</t>
  </si>
  <si>
    <t>Porcelanas Sanitárias</t>
  </si>
  <si>
    <t>Falta</t>
  </si>
  <si>
    <t>Sistema de Camera</t>
  </si>
  <si>
    <t>Alarme e cerca eletrica</t>
  </si>
  <si>
    <t>granitos</t>
  </si>
  <si>
    <t>bombas de agua</t>
  </si>
  <si>
    <t>Encanação finalização do esgoto</t>
  </si>
  <si>
    <t>Lojão da Construção</t>
  </si>
  <si>
    <t>Consultoria Engenharia Eletrica</t>
  </si>
  <si>
    <t>Ceramica</t>
  </si>
  <si>
    <t>Frete</t>
  </si>
  <si>
    <t>Alarme</t>
  </si>
  <si>
    <t>Ceramica Ext</t>
  </si>
  <si>
    <t>Juros Mensalidade 4 de 12 ano 1 - Alarme - Grupo Seg</t>
  </si>
  <si>
    <t>Mensalidade 4 de 12 ano 1 Segurança</t>
  </si>
  <si>
    <t>IPTU 3.2021</t>
  </si>
  <si>
    <t>Semana 6 parte 3</t>
  </si>
  <si>
    <t>Semana 7 Parte 3</t>
  </si>
  <si>
    <t>Ceramica externa 200m²</t>
  </si>
  <si>
    <t>Roberio Pereira</t>
  </si>
  <si>
    <t>Frete Resto de Ceramica</t>
  </si>
  <si>
    <t>Resto de Ceramica 42x42</t>
  </si>
  <si>
    <t>Semana 3-6</t>
  </si>
  <si>
    <t>Exautores</t>
  </si>
  <si>
    <t>Expofrios Equipamentos</t>
  </si>
  <si>
    <t>Equipamentos de Refrigeração</t>
  </si>
  <si>
    <t>Semana 8 - Parte 3</t>
  </si>
  <si>
    <t>Link</t>
  </si>
  <si>
    <t>Oport. Vacância</t>
  </si>
  <si>
    <t>Valor Balanço</t>
  </si>
  <si>
    <t>Soma de Valor Balanço</t>
  </si>
  <si>
    <t>Balanço</t>
  </si>
  <si>
    <t>Meses</t>
  </si>
  <si>
    <t>Provisionado</t>
  </si>
  <si>
    <t>Balanço de Receitas, Aportes e Despesas</t>
  </si>
  <si>
    <t>Prazos importantes</t>
  </si>
  <si>
    <t>Aqui inserimos prazos importantes que serão exibidos no dashboard a fim de evitar perdê-los.</t>
  </si>
  <si>
    <t>Este menu serve para demonstrar as entradas e saídas mês a mês do caixa. Soma-se os Aportes e Receitas e subtraí-se as despesas. O Saldo Balanço deve ser o valor em conta corrente bancária. (apenas leitura)</t>
  </si>
  <si>
    <t>Visualizar indicadores importantes para a codução do negócio. (apenas leitura)</t>
  </si>
  <si>
    <t>Aqui inserimos despesas, aportes e receitas para controlar os prazos e manter histórico de todas as movimentações. Podemos linkas um aquivo comprovante da movimentação na coluna File. (Editável)</t>
  </si>
  <si>
    <t>Fornecedores</t>
  </si>
  <si>
    <t>Cadastrar fornecedores para sheet Movimentação. (Editável)</t>
  </si>
  <si>
    <t>Informações sobre as unidades (Cozinhas). (Editável apenas células brancas)</t>
  </si>
  <si>
    <t>RH - Funcionários</t>
  </si>
  <si>
    <t>Cadastro de funcionários e controle de informações de RH.</t>
  </si>
  <si>
    <t>Contratos</t>
  </si>
  <si>
    <t>Inserir contratos, responsáveis, seus dados, data de início e fim. (Editável apenas células brancas e cinzas)</t>
  </si>
  <si>
    <t>Consulta de contratos na linha do tempo. Reproduz a sheet Contratos. (Editável apenas os campos de consulta.)</t>
  </si>
  <si>
    <t>Semana 1 - Etapa 3 Parte 2</t>
  </si>
  <si>
    <t>Ferragem e mão de obra para Grade externa, 11 janelas paça prato e 2 janelas em aço da portaria</t>
  </si>
  <si>
    <t>CIM 2.2020</t>
  </si>
  <si>
    <t>Pintura</t>
  </si>
  <si>
    <t>Hidraulica Esgoto</t>
  </si>
  <si>
    <t>Hidraulica Abastecimento</t>
  </si>
  <si>
    <t>Granito</t>
  </si>
  <si>
    <t>Ceramica Sanitaria</t>
  </si>
  <si>
    <t>Alarme Cerca Eletrica</t>
  </si>
  <si>
    <t>Capital Inicial</t>
  </si>
  <si>
    <t>Bombas</t>
  </si>
  <si>
    <t>Caixa Dagua 2000L</t>
  </si>
  <si>
    <t>Cano</t>
  </si>
  <si>
    <t>CFTV</t>
  </si>
  <si>
    <t>Infra</t>
  </si>
  <si>
    <t>Portão de Acesso</t>
  </si>
  <si>
    <t>Iluminação</t>
  </si>
  <si>
    <t>Grade + 11 Janelas + 2 Janelas Aço</t>
  </si>
  <si>
    <t>Mão Obra</t>
  </si>
  <si>
    <t>IPTU 4.2021</t>
  </si>
  <si>
    <t>material final de Hidraulica</t>
  </si>
  <si>
    <t>Conta de Água referencia 04/2021</t>
  </si>
  <si>
    <t>Conta de Água referencia 03/2021</t>
  </si>
  <si>
    <t>Conta de Água referencia 02/2021</t>
  </si>
  <si>
    <t>R$500 Poste Energia + R$ 500 do frete e munck</t>
  </si>
  <si>
    <t>50% do valkor material PVC</t>
  </si>
  <si>
    <t>Aporte referente a 50% PVC e R$732 que faltou semana 1 parte 3</t>
  </si>
  <si>
    <t>50% Semana 4 parte 3</t>
  </si>
  <si>
    <t>25% Semana 4 parte 3</t>
  </si>
  <si>
    <t>Semana 2 parte 3 Saldo Bruno</t>
  </si>
  <si>
    <t>Semana 1 parte 3 Sald Matheus</t>
  </si>
  <si>
    <t>Semana 3 parte 3 Saldo Bruno</t>
  </si>
  <si>
    <t>Semana 4 parte 3 Saldo Bruno</t>
  </si>
  <si>
    <t>Semana 6 parte 3 Saldo Bruno</t>
  </si>
  <si>
    <t>Semana 7 parte 3 Saldo Bruno</t>
  </si>
  <si>
    <t>Semanas, 2 -4 -6- 7 Saldo Bruno</t>
  </si>
  <si>
    <t>Portas e Janelas</t>
  </si>
  <si>
    <t>Armázem Coral</t>
  </si>
  <si>
    <t>IPTU 5.2021</t>
  </si>
  <si>
    <t>Juros Mensalidade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</si>
</sst>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#,##0.00;[Red]\-&quot;R$&quot;#,##0.00"/>
    <numFmt numFmtId="44" formatCode="_-&quot;R$&quot;* #,##0.00_-;\-&quot;R$&quot;* #,##0.00_-;_-&quot;R$&quot;* &quot;-&quot;??_-;_-@_-"/>
    <numFmt numFmtId="164" formatCode="[&lt;=99999999999]000\.000\.000\-00;00\.000\.000\/0000\-00"/>
    <numFmt numFmtId="165" formatCode="[&gt;11111111111]\ \(00\)\ 00000\-0000;\ \(00\)\ 0000\-0000\ "/>
    <numFmt numFmtId="166" formatCode="_-&quot;R$&quot;* #,##0_-;\-&quot;R$&quot;* #,##0_-;_-&quot;R$&quot;* &quot;-&quot;??_-;_-@_-"/>
    <numFmt numFmtId="167" formatCode="[Green]_-&quot;R$&quot;* #,##0.00_-;[Red]\-&quot;R$&quot;* #,##0.00_-;_-&quot;R$&quot;* &quot;-&quot;??_-;_-@_-"/>
    <numFmt numFmtId="168" formatCode="[$-416]d\ mmm\ yy;@"/>
  </numFmts>
  <fonts count="8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7"/>
      <color theme="0" tint="-0.249977111117893"/>
      <name val="Calibri"/>
      <family val="2"/>
      <scheme val="minor"/>
    </font>
    <font>
      <sz val="8"/>
      <color rgb="FFFFF9E7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7979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rgb="FFFFF9E7"/>
      <name val="Calibri"/>
      <family val="2"/>
      <scheme val="minor"/>
    </font>
    <font>
      <b/>
      <sz val="22"/>
      <color theme="1" tint="0.34998626667073579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7"/>
      <color theme="1" tint="0.249977111117893"/>
      <name val="Calibri"/>
      <family val="2"/>
      <scheme val="minor"/>
    </font>
    <font>
      <b/>
      <sz val="18"/>
      <color theme="1" tint="0.34998626667073579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b/>
      <sz val="20"/>
      <color theme="2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9"/>
      <color theme="1" tint="0.34998626667073579"/>
      <name val="Calibri"/>
      <family val="2"/>
      <scheme val="minor"/>
    </font>
    <font>
      <b/>
      <sz val="19"/>
      <color theme="2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6" tint="-0.249977111117893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rgb="FFFFF9E7"/>
      <name val="Calibri"/>
      <family val="2"/>
      <scheme val="minor"/>
    </font>
    <font>
      <b/>
      <sz val="26"/>
      <color rgb="FFF65881"/>
      <name val="Calibri"/>
      <family val="2"/>
      <scheme val="minor"/>
    </font>
    <font>
      <b/>
      <sz val="26"/>
      <color theme="9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19"/>
      <color theme="1" tint="0.249977111117893"/>
      <name val="Calibri"/>
      <family val="2"/>
      <scheme val="minor"/>
    </font>
    <font>
      <b/>
      <sz val="21"/>
      <color theme="1" tint="0.34998626667073579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2"/>
      <name val="Calibri"/>
      <family val="2"/>
      <scheme val="minor"/>
    </font>
    <font>
      <sz val="14"/>
      <color theme="6" tint="-0.249977111117893"/>
      <name val="Calibri"/>
      <family val="2"/>
      <scheme val="minor"/>
    </font>
    <font>
      <sz val="18"/>
      <color theme="2"/>
      <name val="Calibri"/>
      <family val="2"/>
      <scheme val="minor"/>
    </font>
    <font>
      <sz val="16"/>
      <color theme="2"/>
      <name val="Calibri"/>
      <family val="2"/>
      <scheme val="minor"/>
    </font>
    <font>
      <b/>
      <sz val="26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72"/>
      <color rgb="FFC00000"/>
      <name val="Arial Rounded MT Bold"/>
      <family val="2"/>
    </font>
    <font>
      <b/>
      <sz val="54"/>
      <color rgb="FF1299AD"/>
      <name val="Arial Rounded MT Bold"/>
      <family val="2"/>
    </font>
    <font>
      <b/>
      <sz val="36"/>
      <color theme="1" tint="0.34998626667073579"/>
      <name val="Arial Rounded MT Bold"/>
      <family val="2"/>
    </font>
    <font>
      <b/>
      <sz val="14"/>
      <color rgb="FFC00000"/>
      <name val="Arial Rounded MT Bold"/>
      <family val="2"/>
    </font>
    <font>
      <b/>
      <sz val="48"/>
      <color rgb="FFC00000"/>
      <name val="Arial Rounded MT Bold"/>
      <family val="2"/>
    </font>
    <font>
      <b/>
      <sz val="20"/>
      <color rgb="FFC00000"/>
      <name val="Arial Rounded MT Bold"/>
      <family val="2"/>
    </font>
    <font>
      <sz val="12"/>
      <color rgb="FF1299AD"/>
      <name val="Calibri"/>
      <family val="2"/>
      <scheme val="minor"/>
    </font>
    <font>
      <b/>
      <sz val="8"/>
      <color theme="1" tint="0.34998626667073579"/>
      <name val="Calibri Light"/>
      <family val="2"/>
      <scheme val="major"/>
    </font>
    <font>
      <b/>
      <sz val="8"/>
      <color rgb="FFFF0000"/>
      <name val="Calibri Light"/>
      <family val="2"/>
      <scheme val="major"/>
    </font>
    <font>
      <sz val="8"/>
      <color theme="1" tint="0.34998626667073579"/>
      <name val="Calibri Light"/>
      <family val="2"/>
      <scheme val="major"/>
    </font>
    <font>
      <b/>
      <sz val="20"/>
      <color rgb="FF1299AD"/>
      <name val="Arial Rounded MT Bold"/>
      <family val="2"/>
    </font>
    <font>
      <sz val="8"/>
      <color rgb="FF1299AD"/>
      <name val="Arial Rounded MT Bold"/>
      <family val="2"/>
    </font>
    <font>
      <b/>
      <sz val="8"/>
      <color rgb="FF1299AD"/>
      <name val="Arial Rounded MT Bold"/>
      <family val="2"/>
    </font>
    <font>
      <b/>
      <sz val="12"/>
      <color rgb="FF1299AD"/>
      <name val="Calibri"/>
      <family val="2"/>
      <scheme val="minor"/>
    </font>
    <font>
      <b/>
      <sz val="11"/>
      <color rgb="FF1299AD"/>
      <name val="Calibri"/>
      <family val="2"/>
      <scheme val="minor"/>
    </font>
    <font>
      <sz val="10"/>
      <color rgb="FF1299AD"/>
      <name val="Arial Rounded MT Bold"/>
      <family val="2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99AD"/>
        <bgColor indexed="64"/>
      </patternFill>
    </fill>
    <fill>
      <patternFill patternType="solid">
        <fgColor rgb="FFD1F7FB"/>
        <bgColor indexed="64"/>
      </patternFill>
    </fill>
    <fill>
      <patternFill patternType="solid">
        <fgColor rgb="FFFEE6FA"/>
        <bgColor indexed="64"/>
      </patternFill>
    </fill>
    <fill>
      <patternFill patternType="solid">
        <fgColor rgb="FFE5FBD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 style="thin">
        <color theme="0" tint="-0.14981536301767021"/>
      </bottom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90691854609822"/>
      </top>
      <bottom style="thin">
        <color theme="0" tint="-0.1498764000366222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8764000366222"/>
      </left>
      <right/>
      <top style="thin">
        <color theme="0" tint="-0.1498764000366222"/>
      </top>
      <bottom/>
      <diagonal/>
    </border>
    <border>
      <left style="thin">
        <color theme="0" tint="-0.1498764000366222"/>
      </left>
      <right/>
      <top/>
      <bottom/>
      <diagonal/>
    </border>
    <border>
      <left/>
      <right/>
      <top style="thin">
        <color theme="0" tint="-0.149876400036622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 style="thin">
        <color theme="0" tint="-0.14996795556505021"/>
      </right>
      <top style="double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double">
        <color theme="0" tint="-0.24994659260841701"/>
      </right>
      <top style="double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double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double">
        <color theme="0" tint="-0.24994659260841701"/>
      </bottom>
      <diagonal/>
    </border>
    <border>
      <left style="thin">
        <color theme="0" tint="-0.14996795556505021"/>
      </left>
      <right style="double">
        <color theme="0" tint="-0.24994659260841701"/>
      </right>
      <top style="thin">
        <color theme="0" tint="-0.14996795556505021"/>
      </top>
      <bottom style="double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double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double">
        <color theme="0" tint="-0.24994659260841701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352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pivotButton="1" applyFont="1"/>
    <xf numFmtId="14" fontId="4" fillId="0" borderId="0" xfId="0" applyNumberFormat="1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indent="1"/>
    </xf>
    <xf numFmtId="44" fontId="4" fillId="0" borderId="0" xfId="0" applyNumberFormat="1" applyFont="1"/>
    <xf numFmtId="1" fontId="11" fillId="13" borderId="11" xfId="0" applyNumberFormat="1" applyFont="1" applyFill="1" applyBorder="1" applyAlignment="1">
      <alignment horizontal="center" vertical="center"/>
    </xf>
    <xf numFmtId="1" fontId="11" fillId="13" borderId="18" xfId="0" applyNumberFormat="1" applyFont="1" applyFill="1" applyBorder="1" applyAlignment="1">
      <alignment horizontal="center" vertical="center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3" xfId="0" applyFont="1" applyFill="1" applyBorder="1" applyAlignment="1">
      <alignment horizontal="center" vertical="center" wrapText="1"/>
    </xf>
    <xf numFmtId="0" fontId="4" fillId="13" borderId="11" xfId="0" applyFont="1" applyFill="1" applyBorder="1" applyAlignment="1">
      <alignment horizontal="center" vertical="center"/>
    </xf>
    <xf numFmtId="14" fontId="4" fillId="13" borderId="11" xfId="0" applyNumberFormat="1" applyFont="1" applyFill="1" applyBorder="1" applyAlignment="1">
      <alignment horizontal="center" vertical="center"/>
    </xf>
    <xf numFmtId="14" fontId="4" fillId="13" borderId="18" xfId="0" applyNumberFormat="1" applyFont="1" applyFill="1" applyBorder="1" applyAlignment="1">
      <alignment horizontal="center" vertical="center"/>
    </xf>
    <xf numFmtId="0" fontId="15" fillId="13" borderId="11" xfId="0" applyFont="1" applyFill="1" applyBorder="1" applyAlignment="1">
      <alignment horizontal="center" vertical="center"/>
    </xf>
    <xf numFmtId="0" fontId="15" fillId="13" borderId="18" xfId="0" applyFont="1" applyFill="1" applyBorder="1" applyAlignment="1">
      <alignment horizontal="center" vertical="center"/>
    </xf>
    <xf numFmtId="44" fontId="16" fillId="13" borderId="1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vertical="center"/>
    </xf>
    <xf numFmtId="1" fontId="12" fillId="0" borderId="0" xfId="0" applyNumberFormat="1" applyFont="1" applyAlignment="1">
      <alignment vertical="center"/>
    </xf>
    <xf numFmtId="0" fontId="8" fillId="9" borderId="13" xfId="0" applyFont="1" applyFill="1" applyBorder="1" applyAlignment="1">
      <alignment horizontal="center" vertical="center" wrapText="1"/>
    </xf>
    <xf numFmtId="44" fontId="18" fillId="13" borderId="11" xfId="0" applyNumberFormat="1" applyFont="1" applyFill="1" applyBorder="1" applyAlignment="1">
      <alignment horizontal="center" vertical="center"/>
    </xf>
    <xf numFmtId="1" fontId="18" fillId="13" borderId="1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Alignment="1">
      <alignment vertical="center"/>
    </xf>
    <xf numFmtId="44" fontId="4" fillId="0" borderId="11" xfId="0" applyNumberFormat="1" applyFont="1" applyFill="1" applyBorder="1" applyAlignment="1">
      <alignment horizontal="center" vertical="center"/>
    </xf>
    <xf numFmtId="44" fontId="4" fillId="0" borderId="18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2" fontId="4" fillId="0" borderId="11" xfId="0" applyNumberFormat="1" applyFont="1" applyFill="1" applyBorder="1" applyAlignment="1">
      <alignment horizontal="center" vertical="center"/>
    </xf>
    <xf numFmtId="2" fontId="4" fillId="0" borderId="18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164" fontId="4" fillId="14" borderId="16" xfId="0" applyNumberFormat="1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44" fontId="4" fillId="0" borderId="20" xfId="0" applyNumberFormat="1" applyFont="1" applyBorder="1" applyAlignment="1">
      <alignment horizontal="center" vertical="center"/>
    </xf>
    <xf numFmtId="14" fontId="4" fillId="5" borderId="20" xfId="0" applyNumberFormat="1" applyFont="1" applyFill="1" applyBorder="1" applyAlignment="1">
      <alignment horizontal="center" vertical="center"/>
    </xf>
    <xf numFmtId="0" fontId="14" fillId="13" borderId="20" xfId="0" applyFont="1" applyFill="1" applyBorder="1" applyAlignment="1">
      <alignment horizontal="center" vertical="center"/>
    </xf>
    <xf numFmtId="1" fontId="4" fillId="13" borderId="20" xfId="0" applyNumberFormat="1" applyFont="1" applyFill="1" applyBorder="1" applyAlignment="1">
      <alignment horizontal="center" vertical="center"/>
    </xf>
    <xf numFmtId="165" fontId="4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14" fillId="0" borderId="21" xfId="0" applyFont="1" applyFill="1" applyBorder="1" applyAlignment="1">
      <alignment horizontal="center" vertical="center"/>
    </xf>
    <xf numFmtId="14" fontId="17" fillId="0" borderId="0" xfId="0" applyNumberFormat="1" applyFont="1" applyFill="1" applyBorder="1" applyAlignment="1">
      <alignment horizontal="center" vertical="center" textRotation="45"/>
    </xf>
    <xf numFmtId="0" fontId="4" fillId="0" borderId="0" xfId="0" applyFont="1" applyFill="1" applyBorder="1" applyAlignment="1">
      <alignment horizontal="center" vertical="center"/>
    </xf>
    <xf numFmtId="0" fontId="22" fillId="13" borderId="11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1" fontId="23" fillId="0" borderId="11" xfId="0" applyNumberFormat="1" applyFont="1" applyBorder="1" applyAlignment="1">
      <alignment horizontal="center" vertical="center"/>
    </xf>
    <xf numFmtId="14" fontId="7" fillId="3" borderId="11" xfId="0" applyNumberFormat="1" applyFont="1" applyFill="1" applyBorder="1" applyAlignment="1">
      <alignment horizontal="center" vertical="center" textRotation="45"/>
    </xf>
    <xf numFmtId="14" fontId="7" fillId="15" borderId="11" xfId="0" applyNumberFormat="1" applyFont="1" applyFill="1" applyBorder="1" applyAlignment="1">
      <alignment horizontal="center" vertical="center" textRotation="45"/>
    </xf>
    <xf numFmtId="1" fontId="4" fillId="10" borderId="20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14" fontId="12" fillId="3" borderId="28" xfId="0" applyNumberFormat="1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14" fontId="12" fillId="0" borderId="20" xfId="0" applyNumberFormat="1" applyFont="1" applyBorder="1" applyAlignment="1">
      <alignment horizontal="center" vertical="center"/>
    </xf>
    <xf numFmtId="14" fontId="12" fillId="0" borderId="29" xfId="0" applyNumberFormat="1" applyFont="1" applyBorder="1" applyAlignment="1">
      <alignment horizontal="center" vertical="center"/>
    </xf>
    <xf numFmtId="14" fontId="12" fillId="3" borderId="30" xfId="0" applyNumberFormat="1" applyFont="1" applyFill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4" fontId="12" fillId="0" borderId="31" xfId="0" applyNumberFormat="1" applyFont="1" applyBorder="1" applyAlignment="1">
      <alignment horizontal="center" vertical="center"/>
    </xf>
    <xf numFmtId="14" fontId="1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top"/>
    </xf>
    <xf numFmtId="14" fontId="0" fillId="0" borderId="0" xfId="0" applyNumberFormat="1" applyFill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1" fillId="0" borderId="0" xfId="0" applyFont="1" applyFill="1" applyBorder="1" applyAlignment="1" applyProtection="1">
      <alignment vertical="center"/>
      <protection locked="0"/>
    </xf>
    <xf numFmtId="0" fontId="40" fillId="0" borderId="0" xfId="0" applyFont="1" applyAlignment="1">
      <alignment horizontal="right" vertical="center"/>
    </xf>
    <xf numFmtId="0" fontId="2" fillId="0" borderId="35" xfId="0" applyFont="1" applyBorder="1" applyAlignment="1">
      <alignment horizontal="center" vertical="center"/>
    </xf>
    <xf numFmtId="44" fontId="0" fillId="0" borderId="0" xfId="0" applyNumberFormat="1" applyAlignment="1">
      <alignment vertical="center"/>
    </xf>
    <xf numFmtId="0" fontId="34" fillId="0" borderId="0" xfId="0" applyFont="1" applyFill="1" applyBorder="1" applyAlignment="1" applyProtection="1">
      <alignment vertical="center"/>
      <protection locked="0"/>
    </xf>
    <xf numFmtId="0" fontId="50" fillId="0" borderId="0" xfId="0" applyFont="1" applyAlignment="1">
      <alignment vertical="center"/>
    </xf>
    <xf numFmtId="0" fontId="26" fillId="16" borderId="36" xfId="0" applyFont="1" applyFill="1" applyBorder="1" applyAlignment="1">
      <alignment horizontal="center" vertical="center"/>
    </xf>
    <xf numFmtId="0" fontId="26" fillId="5" borderId="36" xfId="0" applyFont="1" applyFill="1" applyBorder="1" applyAlignment="1">
      <alignment horizontal="center" vertical="center"/>
    </xf>
    <xf numFmtId="44" fontId="27" fillId="0" borderId="36" xfId="0" applyNumberFormat="1" applyFont="1" applyFill="1" applyBorder="1" applyAlignment="1">
      <alignment horizontal="center" vertical="center"/>
    </xf>
    <xf numFmtId="44" fontId="26" fillId="13" borderId="36" xfId="0" applyNumberFormat="1" applyFont="1" applyFill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1" fontId="19" fillId="0" borderId="40" xfId="0" applyNumberFormat="1" applyFont="1" applyBorder="1" applyAlignment="1">
      <alignment horizontal="center" vertical="center"/>
    </xf>
    <xf numFmtId="0" fontId="26" fillId="10" borderId="39" xfId="0" applyFont="1" applyFill="1" applyBorder="1" applyAlignment="1">
      <alignment horizontal="center" vertical="center"/>
    </xf>
    <xf numFmtId="1" fontId="19" fillId="10" borderId="40" xfId="0" applyNumberFormat="1" applyFont="1" applyFill="1" applyBorder="1" applyAlignment="1">
      <alignment horizontal="center" vertical="center"/>
    </xf>
    <xf numFmtId="0" fontId="26" fillId="0" borderId="41" xfId="0" applyFont="1" applyBorder="1" applyAlignment="1">
      <alignment horizontal="center" vertical="center"/>
    </xf>
    <xf numFmtId="1" fontId="19" fillId="0" borderId="42" xfId="0" applyNumberFormat="1" applyFont="1" applyBorder="1" applyAlignment="1">
      <alignment horizontal="center" vertical="center"/>
    </xf>
    <xf numFmtId="0" fontId="24" fillId="16" borderId="18" xfId="0" applyFont="1" applyFill="1" applyBorder="1" applyAlignment="1">
      <alignment horizontal="center" vertical="center"/>
    </xf>
    <xf numFmtId="0" fontId="48" fillId="13" borderId="36" xfId="0" applyFont="1" applyFill="1" applyBorder="1" applyAlignment="1">
      <alignment horizontal="center" vertical="center"/>
    </xf>
    <xf numFmtId="44" fontId="49" fillId="0" borderId="36" xfId="0" applyNumberFormat="1" applyFont="1" applyFill="1" applyBorder="1" applyAlignment="1" applyProtection="1">
      <alignment vertical="center"/>
      <protection locked="0"/>
    </xf>
    <xf numFmtId="14" fontId="42" fillId="13" borderId="36" xfId="0" applyNumberFormat="1" applyFont="1" applyFill="1" applyBorder="1" applyAlignment="1">
      <alignment horizontal="center" vertical="center"/>
    </xf>
    <xf numFmtId="0" fontId="42" fillId="13" borderId="36" xfId="0" applyFont="1" applyFill="1" applyBorder="1" applyAlignment="1">
      <alignment horizontal="center" vertical="center"/>
    </xf>
    <xf numFmtId="44" fontId="42" fillId="13" borderId="36" xfId="0" applyNumberFormat="1" applyFont="1" applyFill="1" applyBorder="1" applyAlignment="1">
      <alignment vertical="center"/>
    </xf>
    <xf numFmtId="44" fontId="42" fillId="13" borderId="36" xfId="0" applyNumberFormat="1" applyFont="1" applyFill="1" applyBorder="1" applyAlignment="1">
      <alignment horizontal="center" vertical="center"/>
    </xf>
    <xf numFmtId="44" fontId="42" fillId="0" borderId="36" xfId="0" applyNumberFormat="1" applyFont="1" applyBorder="1" applyAlignment="1" applyProtection="1">
      <alignment horizontal="center" vertical="center"/>
      <protection locked="0"/>
    </xf>
    <xf numFmtId="44" fontId="42" fillId="5" borderId="36" xfId="0" applyNumberFormat="1" applyFont="1" applyFill="1" applyBorder="1" applyAlignment="1">
      <alignment horizontal="center" vertical="center"/>
    </xf>
    <xf numFmtId="44" fontId="43" fillId="5" borderId="36" xfId="0" applyNumberFormat="1" applyFont="1" applyFill="1" applyBorder="1" applyAlignment="1">
      <alignment vertical="center"/>
    </xf>
    <xf numFmtId="0" fontId="34" fillId="4" borderId="36" xfId="0" applyFont="1" applyFill="1" applyBorder="1" applyAlignment="1">
      <alignment horizontal="center" vertical="center"/>
    </xf>
    <xf numFmtId="0" fontId="24" fillId="16" borderId="36" xfId="0" applyFont="1" applyFill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44" fontId="44" fillId="0" borderId="36" xfId="0" applyNumberFormat="1" applyFont="1" applyBorder="1" applyAlignment="1">
      <alignment horizontal="center" vertical="center"/>
    </xf>
    <xf numFmtId="0" fontId="41" fillId="13" borderId="36" xfId="0" applyFont="1" applyFill="1" applyBorder="1" applyAlignment="1">
      <alignment horizontal="center" vertical="center"/>
    </xf>
    <xf numFmtId="0" fontId="29" fillId="5" borderId="36" xfId="0" applyFont="1" applyFill="1" applyBorder="1" applyAlignment="1">
      <alignment horizontal="center" vertical="center"/>
    </xf>
    <xf numFmtId="0" fontId="29" fillId="16" borderId="36" xfId="0" applyFont="1" applyFill="1" applyBorder="1" applyAlignment="1">
      <alignment horizontal="center" vertical="center"/>
    </xf>
    <xf numFmtId="44" fontId="27" fillId="11" borderId="36" xfId="0" applyNumberFormat="1" applyFont="1" applyFill="1" applyBorder="1" applyAlignment="1">
      <alignment vertical="center"/>
    </xf>
    <xf numFmtId="0" fontId="47" fillId="5" borderId="36" xfId="0" applyFont="1" applyFill="1" applyBorder="1" applyAlignment="1">
      <alignment horizontal="center" vertical="center"/>
    </xf>
    <xf numFmtId="44" fontId="27" fillId="10" borderId="36" xfId="0" applyNumberFormat="1" applyFont="1" applyFill="1" applyBorder="1" applyAlignment="1">
      <alignment vertical="center"/>
    </xf>
    <xf numFmtId="0" fontId="46" fillId="0" borderId="36" xfId="0" applyFont="1" applyBorder="1" applyAlignment="1">
      <alignment horizontal="right" vertical="center"/>
    </xf>
    <xf numFmtId="0" fontId="47" fillId="16" borderId="36" xfId="0" applyFont="1" applyFill="1" applyBorder="1" applyAlignment="1">
      <alignment horizontal="center" vertical="center"/>
    </xf>
    <xf numFmtId="44" fontId="30" fillId="11" borderId="36" xfId="0" applyNumberFormat="1" applyFont="1" applyFill="1" applyBorder="1" applyAlignment="1">
      <alignment vertical="center"/>
    </xf>
    <xf numFmtId="14" fontId="43" fillId="0" borderId="44" xfId="0" applyNumberFormat="1" applyFont="1" applyBorder="1" applyAlignment="1">
      <alignment horizontal="center" vertical="center"/>
    </xf>
    <xf numFmtId="0" fontId="43" fillId="0" borderId="43" xfId="0" applyFont="1" applyBorder="1" applyAlignment="1">
      <alignment vertical="center"/>
    </xf>
    <xf numFmtId="17" fontId="19" fillId="16" borderId="36" xfId="0" applyNumberFormat="1" applyFont="1" applyFill="1" applyBorder="1" applyAlignment="1">
      <alignment horizontal="center" vertical="center"/>
    </xf>
    <xf numFmtId="0" fontId="24" fillId="5" borderId="36" xfId="0" applyFont="1" applyFill="1" applyBorder="1" applyAlignment="1">
      <alignment horizontal="center" vertical="center"/>
    </xf>
    <xf numFmtId="44" fontId="51" fillId="0" borderId="36" xfId="0" applyNumberFormat="1" applyFont="1" applyBorder="1" applyAlignment="1">
      <alignment vertical="center"/>
    </xf>
    <xf numFmtId="44" fontId="52" fillId="12" borderId="36" xfId="0" applyNumberFormat="1" applyFont="1" applyFill="1" applyBorder="1" applyAlignment="1">
      <alignment vertical="center"/>
    </xf>
    <xf numFmtId="44" fontId="52" fillId="0" borderId="36" xfId="0" applyNumberFormat="1" applyFont="1" applyBorder="1" applyAlignment="1">
      <alignment vertical="center"/>
    </xf>
    <xf numFmtId="44" fontId="54" fillId="10" borderId="36" xfId="0" applyNumberFormat="1" applyFont="1" applyFill="1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55" fillId="17" borderId="0" xfId="0" applyFont="1" applyFill="1" applyAlignment="1">
      <alignment horizontal="center" vertical="center"/>
    </xf>
    <xf numFmtId="0" fontId="4" fillId="0" borderId="0" xfId="0" applyFont="1" applyAlignment="1">
      <alignment horizontal="left" indent="2"/>
    </xf>
    <xf numFmtId="166" fontId="11" fillId="13" borderId="11" xfId="0" applyNumberFormat="1" applyFont="1" applyFill="1" applyBorder="1" applyAlignment="1">
      <alignment horizontal="center" vertical="center"/>
    </xf>
    <xf numFmtId="0" fontId="58" fillId="0" borderId="0" xfId="0" applyFont="1"/>
    <xf numFmtId="0" fontId="58" fillId="0" borderId="52" xfId="0" applyFont="1" applyBorder="1"/>
    <xf numFmtId="0" fontId="58" fillId="0" borderId="36" xfId="0" applyFont="1" applyBorder="1"/>
    <xf numFmtId="0" fontId="58" fillId="0" borderId="36" xfId="0" applyFont="1" applyBorder="1" applyAlignment="1">
      <alignment horizontal="center"/>
    </xf>
    <xf numFmtId="165" fontId="58" fillId="0" borderId="36" xfId="0" applyNumberFormat="1" applyFont="1" applyBorder="1" applyAlignment="1">
      <alignment horizontal="center" vertical="center"/>
    </xf>
    <xf numFmtId="0" fontId="58" fillId="0" borderId="53" xfId="0" applyFont="1" applyBorder="1" applyAlignment="1">
      <alignment horizontal="center"/>
    </xf>
    <xf numFmtId="0" fontId="58" fillId="0" borderId="43" xfId="0" applyFont="1" applyBorder="1"/>
    <xf numFmtId="0" fontId="58" fillId="0" borderId="45" xfId="0" applyFont="1" applyBorder="1"/>
    <xf numFmtId="0" fontId="58" fillId="0" borderId="45" xfId="0" applyFont="1" applyBorder="1" applyAlignment="1">
      <alignment horizontal="center"/>
    </xf>
    <xf numFmtId="165" fontId="58" fillId="0" borderId="45" xfId="0" applyNumberFormat="1" applyFont="1" applyBorder="1" applyAlignment="1">
      <alignment horizontal="center" vertical="center"/>
    </xf>
    <xf numFmtId="0" fontId="58" fillId="0" borderId="54" xfId="0" applyFont="1" applyBorder="1" applyAlignment="1">
      <alignment horizontal="center"/>
    </xf>
    <xf numFmtId="0" fontId="59" fillId="5" borderId="50" xfId="0" applyFont="1" applyFill="1" applyBorder="1" applyAlignment="1">
      <alignment horizontal="center"/>
    </xf>
    <xf numFmtId="0" fontId="59" fillId="5" borderId="47" xfId="0" applyFont="1" applyFill="1" applyBorder="1" applyAlignment="1">
      <alignment horizontal="center"/>
    </xf>
    <xf numFmtId="0" fontId="59" fillId="5" borderId="51" xfId="0" applyFont="1" applyFill="1" applyBorder="1" applyAlignment="1">
      <alignment horizontal="center"/>
    </xf>
    <xf numFmtId="0" fontId="57" fillId="0" borderId="36" xfId="1" applyBorder="1" applyAlignment="1">
      <alignment horizontal="center"/>
    </xf>
    <xf numFmtId="0" fontId="58" fillId="0" borderId="36" xfId="1" applyFont="1" applyBorder="1" applyAlignment="1">
      <alignment horizont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0" fontId="14" fillId="18" borderId="14" xfId="0" applyFont="1" applyFill="1" applyBorder="1" applyAlignment="1">
      <alignment horizontal="center" vertical="center"/>
    </xf>
    <xf numFmtId="14" fontId="4" fillId="0" borderId="18" xfId="0" applyNumberFormat="1" applyFont="1" applyBorder="1" applyAlignment="1">
      <alignment horizontal="center" vertical="center"/>
    </xf>
    <xf numFmtId="14" fontId="4" fillId="0" borderId="49" xfId="0" applyNumberFormat="1" applyFont="1" applyBorder="1" applyAlignment="1">
      <alignment horizontal="center" vertical="center"/>
    </xf>
    <xf numFmtId="0" fontId="60" fillId="19" borderId="36" xfId="0" applyFont="1" applyFill="1" applyBorder="1" applyAlignment="1">
      <alignment horizontal="center" vertical="center"/>
    </xf>
    <xf numFmtId="44" fontId="53" fillId="20" borderId="36" xfId="0" applyNumberFormat="1" applyFont="1" applyFill="1" applyBorder="1" applyAlignment="1">
      <alignment vertical="center"/>
    </xf>
    <xf numFmtId="164" fontId="4" fillId="14" borderId="18" xfId="0" applyNumberFormat="1" applyFont="1" applyFill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44" fontId="4" fillId="0" borderId="31" xfId="0" applyNumberFormat="1" applyFont="1" applyBorder="1" applyAlignment="1">
      <alignment horizontal="center" vertical="center"/>
    </xf>
    <xf numFmtId="14" fontId="4" fillId="5" borderId="31" xfId="0" applyNumberFormat="1" applyFont="1" applyFill="1" applyBorder="1" applyAlignment="1">
      <alignment horizontal="center" vertical="center"/>
    </xf>
    <xf numFmtId="0" fontId="14" fillId="13" borderId="31" xfId="0" applyNumberFormat="1" applyFont="1" applyFill="1" applyBorder="1" applyAlignment="1">
      <alignment horizontal="center" vertical="center"/>
    </xf>
    <xf numFmtId="1" fontId="4" fillId="13" borderId="31" xfId="0" applyNumberFormat="1" applyFont="1" applyFill="1" applyBorder="1" applyAlignment="1">
      <alignment horizontal="center" vertical="center"/>
    </xf>
    <xf numFmtId="165" fontId="4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9" fontId="26" fillId="0" borderId="36" xfId="0" applyNumberFormat="1" applyFont="1" applyBorder="1" applyAlignment="1">
      <alignment horizontal="center" vertical="center"/>
    </xf>
    <xf numFmtId="0" fontId="60" fillId="0" borderId="60" xfId="0" applyFont="1" applyFill="1" applyBorder="1" applyAlignment="1">
      <alignment horizontal="center" vertical="center"/>
    </xf>
    <xf numFmtId="44" fontId="53" fillId="0" borderId="60" xfId="0" applyNumberFormat="1" applyFont="1" applyFill="1" applyBorder="1" applyAlignment="1">
      <alignment vertical="center"/>
    </xf>
    <xf numFmtId="44" fontId="0" fillId="0" borderId="0" xfId="0" applyNumberFormat="1"/>
    <xf numFmtId="44" fontId="0" fillId="0" borderId="0" xfId="0" applyNumberForma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23" borderId="62" xfId="0" applyFill="1" applyBorder="1" applyAlignment="1">
      <alignment horizontal="center" vertical="center"/>
    </xf>
    <xf numFmtId="14" fontId="0" fillId="0" borderId="62" xfId="0" applyNumberFormat="1" applyBorder="1" applyAlignment="1">
      <alignment horizontal="center" vertical="center"/>
    </xf>
    <xf numFmtId="44" fontId="0" fillId="0" borderId="62" xfId="0" applyNumberFormat="1" applyBorder="1" applyAlignment="1">
      <alignment horizontal="center" vertical="center"/>
    </xf>
    <xf numFmtId="0" fontId="0" fillId="23" borderId="0" xfId="0" applyFill="1"/>
    <xf numFmtId="44" fontId="0" fillId="24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44" fontId="5" fillId="8" borderId="5" xfId="0" applyNumberFormat="1" applyFont="1" applyFill="1" applyBorder="1" applyAlignment="1">
      <alignment horizontal="center" vertical="center"/>
    </xf>
    <xf numFmtId="14" fontId="20" fillId="0" borderId="0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/>
    <xf numFmtId="167" fontId="0" fillId="0" borderId="0" xfId="0" applyNumberFormat="1" applyAlignment="1">
      <alignment horizontal="center"/>
    </xf>
    <xf numFmtId="17" fontId="0" fillId="0" borderId="0" xfId="0" applyNumberFormat="1"/>
    <xf numFmtId="17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63" fillId="0" borderId="0" xfId="0" applyFont="1"/>
    <xf numFmtId="167" fontId="64" fillId="0" borderId="0" xfId="0" applyNumberFormat="1" applyFont="1" applyAlignment="1">
      <alignment horizontal="center"/>
    </xf>
    <xf numFmtId="0" fontId="0" fillId="0" borderId="0" xfId="0" applyAlignment="1"/>
    <xf numFmtId="14" fontId="73" fillId="7" borderId="66" xfId="0" applyNumberFormat="1" applyFont="1" applyFill="1" applyBorder="1" applyAlignment="1">
      <alignment horizontal="center" vertical="center"/>
    </xf>
    <xf numFmtId="44" fontId="72" fillId="6" borderId="59" xfId="0" applyNumberFormat="1" applyFont="1" applyFill="1" applyBorder="1" applyAlignment="1">
      <alignment horizontal="center" vertical="center"/>
    </xf>
    <xf numFmtId="14" fontId="73" fillId="7" borderId="58" xfId="0" applyNumberFormat="1" applyFont="1" applyFill="1" applyBorder="1" applyAlignment="1">
      <alignment horizontal="center" vertical="center"/>
    </xf>
    <xf numFmtId="44" fontId="74" fillId="0" borderId="57" xfId="0" applyNumberFormat="1" applyFont="1" applyBorder="1" applyAlignment="1">
      <alignment horizontal="center" vertical="center"/>
    </xf>
    <xf numFmtId="168" fontId="74" fillId="5" borderId="28" xfId="0" applyNumberFormat="1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4" fontId="7" fillId="0" borderId="19" xfId="0" applyNumberFormat="1" applyFont="1" applyFill="1" applyBorder="1" applyAlignment="1">
      <alignment horizontal="center" vertical="center"/>
    </xf>
    <xf numFmtId="0" fontId="7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77" fillId="0" borderId="0" xfId="0" applyFont="1" applyBorder="1" applyAlignment="1">
      <alignment vertical="center"/>
    </xf>
    <xf numFmtId="2" fontId="1" fillId="2" borderId="72" xfId="0" applyNumberFormat="1" applyFont="1" applyFill="1" applyBorder="1" applyAlignment="1">
      <alignment horizontal="center" vertical="center"/>
    </xf>
    <xf numFmtId="44" fontId="5" fillId="8" borderId="74" xfId="0" applyNumberFormat="1" applyFont="1" applyFill="1" applyBorder="1" applyAlignment="1">
      <alignment horizontal="center" vertical="center"/>
    </xf>
    <xf numFmtId="44" fontId="5" fillId="8" borderId="7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5" fillId="5" borderId="3" xfId="0" applyNumberFormat="1" applyFont="1" applyFill="1" applyBorder="1" applyAlignment="1">
      <alignment horizontal="center" vertical="center"/>
    </xf>
    <xf numFmtId="2" fontId="57" fillId="5" borderId="3" xfId="1" applyNumberFormat="1" applyFill="1" applyBorder="1" applyAlignment="1">
      <alignment horizontal="center" vertical="center"/>
    </xf>
    <xf numFmtId="2" fontId="56" fillId="0" borderId="3" xfId="0" applyNumberFormat="1" applyFont="1" applyFill="1" applyBorder="1" applyAlignment="1">
      <alignment horizontal="center" vertical="center"/>
    </xf>
    <xf numFmtId="2" fontId="56" fillId="0" borderId="3" xfId="0" applyNumberFormat="1" applyFont="1" applyBorder="1" applyAlignment="1">
      <alignment horizontal="center" vertical="center"/>
    </xf>
    <xf numFmtId="2" fontId="56" fillId="0" borderId="3" xfId="0" applyNumberFormat="1" applyFont="1" applyBorder="1" applyAlignment="1">
      <alignment horizontal="center" vertical="center" wrapText="1"/>
    </xf>
    <xf numFmtId="2" fontId="5" fillId="0" borderId="3" xfId="0" applyNumberFormat="1" applyFont="1" applyFill="1" applyBorder="1" applyAlignment="1">
      <alignment horizontal="center" vertical="center" wrapText="1"/>
    </xf>
    <xf numFmtId="14" fontId="5" fillId="0" borderId="3" xfId="0" applyNumberFormat="1" applyFont="1" applyBorder="1" applyAlignment="1">
      <alignment horizontal="center" vertical="center"/>
    </xf>
    <xf numFmtId="14" fontId="56" fillId="0" borderId="3" xfId="0" applyNumberFormat="1" applyFont="1" applyBorder="1" applyAlignment="1">
      <alignment horizontal="center" vertical="center"/>
    </xf>
    <xf numFmtId="44" fontId="5" fillId="0" borderId="3" xfId="0" applyNumberFormat="1" applyFont="1" applyBorder="1" applyAlignment="1">
      <alignment horizontal="center" vertical="center"/>
    </xf>
    <xf numFmtId="2" fontId="6" fillId="3" borderId="3" xfId="0" applyNumberFormat="1" applyFont="1" applyFill="1" applyBorder="1" applyAlignment="1">
      <alignment horizontal="center" vertical="center"/>
    </xf>
    <xf numFmtId="14" fontId="6" fillId="5" borderId="3" xfId="0" applyNumberFormat="1" applyFont="1" applyFill="1" applyBorder="1" applyAlignment="1">
      <alignment horizontal="center" vertical="center"/>
    </xf>
    <xf numFmtId="17" fontId="5" fillId="8" borderId="3" xfId="0" applyNumberFormat="1" applyFont="1" applyFill="1" applyBorder="1" applyAlignment="1">
      <alignment horizontal="center" vertical="center"/>
    </xf>
    <xf numFmtId="8" fontId="5" fillId="8" borderId="3" xfId="0" applyNumberFormat="1" applyFont="1" applyFill="1" applyBorder="1" applyAlignment="1">
      <alignment horizontal="center" vertical="center"/>
    </xf>
    <xf numFmtId="44" fontId="5" fillId="8" borderId="3" xfId="0" applyNumberFormat="1" applyFont="1" applyFill="1" applyBorder="1" applyAlignment="1">
      <alignment horizontal="center" vertical="center"/>
    </xf>
    <xf numFmtId="17" fontId="62" fillId="8" borderId="3" xfId="0" applyNumberFormat="1" applyFont="1" applyFill="1" applyBorder="1" applyAlignment="1">
      <alignment horizontal="center" vertical="center"/>
    </xf>
    <xf numFmtId="2" fontId="56" fillId="0" borderId="3" xfId="0" applyNumberFormat="1" applyFont="1" applyFill="1" applyBorder="1" applyAlignment="1">
      <alignment horizontal="center" vertical="center" wrapText="1"/>
    </xf>
    <xf numFmtId="14" fontId="61" fillId="0" borderId="3" xfId="0" applyNumberFormat="1" applyFont="1" applyBorder="1" applyAlignment="1">
      <alignment horizontal="center" vertical="center"/>
    </xf>
    <xf numFmtId="2" fontId="5" fillId="5" borderId="75" xfId="0" applyNumberFormat="1" applyFont="1" applyFill="1" applyBorder="1" applyAlignment="1">
      <alignment horizontal="center" vertical="center"/>
    </xf>
    <xf numFmtId="2" fontId="5" fillId="0" borderId="75" xfId="0" applyNumberFormat="1" applyFont="1" applyFill="1" applyBorder="1" applyAlignment="1">
      <alignment horizontal="center" vertical="center" wrapText="1"/>
    </xf>
    <xf numFmtId="14" fontId="5" fillId="0" borderId="75" xfId="0" applyNumberFormat="1" applyFont="1" applyBorder="1" applyAlignment="1">
      <alignment horizontal="center" vertical="center"/>
    </xf>
    <xf numFmtId="14" fontId="56" fillId="0" borderId="75" xfId="0" applyNumberFormat="1" applyFont="1" applyBorder="1" applyAlignment="1">
      <alignment horizontal="center" vertical="center"/>
    </xf>
    <xf numFmtId="44" fontId="5" fillId="0" borderId="75" xfId="0" applyNumberFormat="1" applyFont="1" applyBorder="1" applyAlignment="1">
      <alignment horizontal="center" vertical="center"/>
    </xf>
    <xf numFmtId="2" fontId="6" fillId="3" borderId="75" xfId="0" applyNumberFormat="1" applyFont="1" applyFill="1" applyBorder="1" applyAlignment="1">
      <alignment horizontal="center" vertical="center"/>
    </xf>
    <xf numFmtId="14" fontId="6" fillId="5" borderId="75" xfId="0" applyNumberFormat="1" applyFont="1" applyFill="1" applyBorder="1" applyAlignment="1">
      <alignment horizontal="center" vertical="center"/>
    </xf>
    <xf numFmtId="17" fontId="5" fillId="8" borderId="75" xfId="0" applyNumberFormat="1" applyFont="1" applyFill="1" applyBorder="1" applyAlignment="1">
      <alignment horizontal="center" vertical="center"/>
    </xf>
    <xf numFmtId="8" fontId="5" fillId="8" borderId="75" xfId="0" applyNumberFormat="1" applyFont="1" applyFill="1" applyBorder="1" applyAlignment="1">
      <alignment horizontal="center" vertical="center"/>
    </xf>
    <xf numFmtId="44" fontId="5" fillId="8" borderId="75" xfId="0" applyNumberFormat="1" applyFont="1" applyFill="1" applyBorder="1" applyAlignment="1">
      <alignment horizontal="center" vertical="center"/>
    </xf>
    <xf numFmtId="0" fontId="0" fillId="0" borderId="62" xfId="0" applyBorder="1"/>
    <xf numFmtId="0" fontId="82" fillId="0" borderId="62" xfId="0" applyFont="1" applyBorder="1" applyAlignment="1">
      <alignment horizontal="right" vertical="center"/>
    </xf>
    <xf numFmtId="0" fontId="83" fillId="0" borderId="62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1" fillId="0" borderId="0" xfId="0" applyFont="1"/>
    <xf numFmtId="2" fontId="57" fillId="5" borderId="75" xfId="1" applyNumberFormat="1" applyFill="1" applyBorder="1" applyAlignment="1">
      <alignment horizontal="center" vertical="center"/>
    </xf>
    <xf numFmtId="44" fontId="5" fillId="8" borderId="2" xfId="0" applyNumberFormat="1" applyFont="1" applyFill="1" applyBorder="1" applyAlignment="1">
      <alignment horizontal="center" vertical="center"/>
    </xf>
    <xf numFmtId="2" fontId="56" fillId="0" borderId="75" xfId="0" applyNumberFormat="1" applyFont="1" applyFill="1" applyBorder="1" applyAlignment="1">
      <alignment horizontal="center" vertical="center"/>
    </xf>
    <xf numFmtId="2" fontId="56" fillId="0" borderId="75" xfId="0" applyNumberFormat="1" applyFont="1" applyFill="1" applyBorder="1" applyAlignment="1">
      <alignment horizontal="center" vertical="center" wrapText="1"/>
    </xf>
    <xf numFmtId="2" fontId="56" fillId="0" borderId="75" xfId="0" applyNumberFormat="1" applyFon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39" fillId="4" borderId="36" xfId="0" applyFont="1" applyFill="1" applyBorder="1" applyAlignment="1">
      <alignment horizontal="center" vertical="center"/>
    </xf>
    <xf numFmtId="0" fontId="25" fillId="4" borderId="36" xfId="0" applyFont="1" applyFill="1" applyBorder="1" applyAlignment="1">
      <alignment horizontal="center" vertical="center"/>
    </xf>
    <xf numFmtId="44" fontId="31" fillId="0" borderId="36" xfId="0" applyNumberFormat="1" applyFont="1" applyBorder="1" applyAlignment="1">
      <alignment horizontal="center" vertical="center"/>
    </xf>
    <xf numFmtId="44" fontId="32" fillId="0" borderId="36" xfId="0" applyNumberFormat="1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25" fillId="4" borderId="37" xfId="0" applyFont="1" applyFill="1" applyBorder="1" applyAlignment="1">
      <alignment horizontal="center" vertical="center"/>
    </xf>
    <xf numFmtId="0" fontId="25" fillId="4" borderId="38" xfId="0" applyFont="1" applyFill="1" applyBorder="1" applyAlignment="1">
      <alignment horizontal="center" vertical="center"/>
    </xf>
    <xf numFmtId="0" fontId="39" fillId="19" borderId="36" xfId="0" applyFont="1" applyFill="1" applyBorder="1" applyAlignment="1">
      <alignment horizontal="center" vertical="center"/>
    </xf>
    <xf numFmtId="0" fontId="35" fillId="4" borderId="36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31" fillId="0" borderId="36" xfId="0" applyNumberFormat="1" applyFont="1" applyBorder="1" applyAlignment="1">
      <alignment horizontal="center" vertical="center"/>
    </xf>
    <xf numFmtId="0" fontId="38" fillId="13" borderId="36" xfId="0" applyFont="1" applyFill="1" applyBorder="1" applyAlignment="1">
      <alignment horizontal="center" vertical="center"/>
    </xf>
    <xf numFmtId="0" fontId="65" fillId="0" borderId="45" xfId="0" applyFont="1" applyBorder="1" applyAlignment="1">
      <alignment horizontal="center" vertical="center" wrapText="1"/>
    </xf>
    <xf numFmtId="0" fontId="65" fillId="0" borderId="46" xfId="0" applyFont="1" applyBorder="1" applyAlignment="1">
      <alignment horizontal="center" vertical="center" wrapText="1"/>
    </xf>
    <xf numFmtId="0" fontId="66" fillId="0" borderId="46" xfId="0" applyFont="1" applyBorder="1" applyAlignment="1">
      <alignment horizontal="center" vertical="center" wrapText="1"/>
    </xf>
    <xf numFmtId="0" fontId="66" fillId="0" borderId="47" xfId="0" applyFont="1" applyBorder="1" applyAlignment="1">
      <alignment horizontal="center" vertical="center" wrapText="1"/>
    </xf>
    <xf numFmtId="14" fontId="67" fillId="10" borderId="36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37" fillId="13" borderId="36" xfId="0" applyFont="1" applyFill="1" applyBorder="1" applyAlignment="1">
      <alignment horizontal="center" vertical="center"/>
    </xf>
    <xf numFmtId="0" fontId="75" fillId="0" borderId="54" xfId="0" applyFont="1" applyBorder="1" applyAlignment="1">
      <alignment horizontal="left" vertical="center" indent="1"/>
    </xf>
    <xf numFmtId="0" fontId="75" fillId="0" borderId="44" xfId="0" applyFont="1" applyBorder="1" applyAlignment="1">
      <alignment horizontal="left" vertical="center" indent="1"/>
    </xf>
    <xf numFmtId="0" fontId="75" fillId="0" borderId="43" xfId="0" applyFont="1" applyBorder="1" applyAlignment="1">
      <alignment horizontal="left" vertical="center" indent="1"/>
    </xf>
    <xf numFmtId="0" fontId="75" fillId="0" borderId="51" xfId="0" applyFont="1" applyBorder="1" applyAlignment="1">
      <alignment horizontal="left" vertical="center" indent="1"/>
    </xf>
    <xf numFmtId="0" fontId="75" fillId="0" borderId="61" xfId="0" applyFont="1" applyBorder="1" applyAlignment="1">
      <alignment horizontal="left" vertical="center" indent="1"/>
    </xf>
    <xf numFmtId="0" fontId="75" fillId="0" borderId="50" xfId="0" applyFont="1" applyBorder="1" applyAlignment="1">
      <alignment horizontal="left" vertical="center" indent="1"/>
    </xf>
    <xf numFmtId="0" fontId="7" fillId="21" borderId="65" xfId="0" applyFont="1" applyFill="1" applyBorder="1" applyAlignment="1">
      <alignment horizontal="center" vertical="center"/>
    </xf>
    <xf numFmtId="0" fontId="7" fillId="21" borderId="56" xfId="0" applyFont="1" applyFill="1" applyBorder="1" applyAlignment="1">
      <alignment horizontal="center" vertical="center"/>
    </xf>
    <xf numFmtId="0" fontId="7" fillId="22" borderId="55" xfId="0" applyFont="1" applyFill="1" applyBorder="1" applyAlignment="1">
      <alignment horizontal="center" vertical="center"/>
    </xf>
    <xf numFmtId="0" fontId="7" fillId="22" borderId="56" xfId="0" applyFont="1" applyFill="1" applyBorder="1" applyAlignment="1">
      <alignment horizontal="center" vertical="center"/>
    </xf>
    <xf numFmtId="0" fontId="69" fillId="0" borderId="54" xfId="0" applyFont="1" applyBorder="1" applyAlignment="1">
      <alignment horizontal="center" vertical="center" wrapText="1"/>
    </xf>
    <xf numFmtId="0" fontId="69" fillId="0" borderId="44" xfId="0" applyFont="1" applyBorder="1" applyAlignment="1">
      <alignment horizontal="center" vertical="center" wrapText="1"/>
    </xf>
    <xf numFmtId="0" fontId="69" fillId="0" borderId="43" xfId="0" applyFont="1" applyBorder="1" applyAlignment="1">
      <alignment horizontal="center" vertical="center" wrapText="1"/>
    </xf>
    <xf numFmtId="0" fontId="69" fillId="0" borderId="21" xfId="0" applyFont="1" applyBorder="1" applyAlignment="1">
      <alignment horizontal="center" vertical="center" wrapText="1"/>
    </xf>
    <xf numFmtId="0" fontId="69" fillId="0" borderId="0" xfId="0" applyFont="1" applyBorder="1" applyAlignment="1">
      <alignment horizontal="center" vertical="center" wrapText="1"/>
    </xf>
    <xf numFmtId="0" fontId="69" fillId="0" borderId="67" xfId="0" applyFont="1" applyBorder="1" applyAlignment="1">
      <alignment horizontal="center" vertical="center" wrapText="1"/>
    </xf>
    <xf numFmtId="0" fontId="80" fillId="0" borderId="54" xfId="0" applyFont="1" applyBorder="1" applyAlignment="1">
      <alignment horizontal="left" vertical="center" wrapText="1"/>
    </xf>
    <xf numFmtId="0" fontId="80" fillId="0" borderId="44" xfId="0" applyFont="1" applyBorder="1" applyAlignment="1">
      <alignment horizontal="left" vertical="center" wrapText="1"/>
    </xf>
    <xf numFmtId="0" fontId="80" fillId="0" borderId="43" xfId="0" applyFont="1" applyBorder="1" applyAlignment="1">
      <alignment horizontal="left" vertical="center" wrapText="1"/>
    </xf>
    <xf numFmtId="0" fontId="80" fillId="0" borderId="21" xfId="0" applyFont="1" applyBorder="1" applyAlignment="1">
      <alignment horizontal="left" vertical="center" wrapText="1"/>
    </xf>
    <xf numFmtId="0" fontId="80" fillId="0" borderId="0" xfId="0" applyFont="1" applyBorder="1" applyAlignment="1">
      <alignment horizontal="left" vertical="center" wrapText="1"/>
    </xf>
    <xf numFmtId="0" fontId="80" fillId="0" borderId="67" xfId="0" applyFont="1" applyBorder="1" applyAlignment="1">
      <alignment horizontal="left" vertical="center" wrapText="1"/>
    </xf>
    <xf numFmtId="0" fontId="80" fillId="0" borderId="51" xfId="0" applyFont="1" applyBorder="1" applyAlignment="1">
      <alignment horizontal="left" vertical="center" wrapText="1"/>
    </xf>
    <xf numFmtId="0" fontId="80" fillId="0" borderId="61" xfId="0" applyFont="1" applyBorder="1" applyAlignment="1">
      <alignment horizontal="left" vertical="center" wrapText="1"/>
    </xf>
    <xf numFmtId="0" fontId="80" fillId="0" borderId="50" xfId="0" applyFont="1" applyBorder="1" applyAlignment="1">
      <alignment horizontal="left" vertical="center" wrapText="1"/>
    </xf>
    <xf numFmtId="0" fontId="76" fillId="0" borderId="53" xfId="0" applyFont="1" applyBorder="1" applyAlignment="1">
      <alignment horizontal="left" vertical="center" wrapText="1"/>
    </xf>
    <xf numFmtId="0" fontId="76" fillId="0" borderId="60" xfId="0" applyFont="1" applyBorder="1" applyAlignment="1">
      <alignment horizontal="left" vertical="center" wrapText="1"/>
    </xf>
    <xf numFmtId="0" fontId="76" fillId="0" borderId="52" xfId="0" applyFont="1" applyBorder="1" applyAlignment="1">
      <alignment horizontal="left" vertical="center" wrapText="1"/>
    </xf>
    <xf numFmtId="0" fontId="68" fillId="0" borderId="53" xfId="0" applyFont="1" applyBorder="1" applyAlignment="1">
      <alignment horizontal="left" vertical="center" indent="1"/>
    </xf>
    <xf numFmtId="0" fontId="68" fillId="0" borderId="60" xfId="0" applyFont="1" applyBorder="1" applyAlignment="1">
      <alignment horizontal="left" vertical="center" indent="1"/>
    </xf>
    <xf numFmtId="0" fontId="68" fillId="0" borderId="52" xfId="0" applyFont="1" applyBorder="1" applyAlignment="1">
      <alignment horizontal="left" vertical="center" indent="1"/>
    </xf>
    <xf numFmtId="0" fontId="70" fillId="0" borderId="16" xfId="0" applyFont="1" applyBorder="1" applyAlignment="1">
      <alignment horizontal="center" vertical="center"/>
    </xf>
    <xf numFmtId="0" fontId="70" fillId="0" borderId="71" xfId="0" applyFont="1" applyBorder="1" applyAlignment="1">
      <alignment horizontal="center" vertical="center"/>
    </xf>
    <xf numFmtId="0" fontId="70" fillId="0" borderId="15" xfId="0" applyFont="1" applyBorder="1" applyAlignment="1">
      <alignment horizontal="center" vertical="center"/>
    </xf>
    <xf numFmtId="0" fontId="77" fillId="0" borderId="16" xfId="0" applyFont="1" applyBorder="1" applyAlignment="1">
      <alignment horizontal="center" vertical="center"/>
    </xf>
    <xf numFmtId="0" fontId="77" fillId="0" borderId="71" xfId="0" applyFont="1" applyBorder="1" applyAlignment="1">
      <alignment horizontal="center" vertical="center"/>
    </xf>
    <xf numFmtId="0" fontId="77" fillId="0" borderId="15" xfId="0" applyFont="1" applyBorder="1" applyAlignment="1">
      <alignment horizontal="center" vertical="center"/>
    </xf>
    <xf numFmtId="14" fontId="20" fillId="0" borderId="11" xfId="0" applyNumberFormat="1" applyFont="1" applyBorder="1" applyAlignment="1">
      <alignment horizontal="center" vertical="center"/>
    </xf>
    <xf numFmtId="0" fontId="21" fillId="11" borderId="11" xfId="0" applyFont="1" applyFill="1" applyBorder="1" applyAlignment="1">
      <alignment horizontal="center" vertical="center"/>
    </xf>
    <xf numFmtId="14" fontId="7" fillId="13" borderId="11" xfId="0" applyNumberFormat="1" applyFont="1" applyFill="1" applyBorder="1" applyAlignment="1">
      <alignment horizontal="center" vertical="center"/>
    </xf>
    <xf numFmtId="1" fontId="7" fillId="13" borderId="11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14" fontId="20" fillId="0" borderId="0" xfId="0" applyNumberFormat="1" applyFont="1" applyBorder="1" applyAlignment="1">
      <alignment horizontal="center" vertical="center"/>
    </xf>
    <xf numFmtId="0" fontId="70" fillId="0" borderId="11" xfId="0" applyFont="1" applyBorder="1" applyAlignment="1">
      <alignment horizontal="center" vertical="center"/>
    </xf>
    <xf numFmtId="0" fontId="77" fillId="0" borderId="16" xfId="0" applyFont="1" applyBorder="1" applyAlignment="1">
      <alignment horizontal="left" vertical="center" wrapText="1" indent="1"/>
    </xf>
    <xf numFmtId="0" fontId="77" fillId="0" borderId="71" xfId="0" applyFont="1" applyBorder="1" applyAlignment="1">
      <alignment horizontal="left" vertical="center" wrapText="1" indent="1"/>
    </xf>
    <xf numFmtId="0" fontId="77" fillId="0" borderId="15" xfId="0" applyFont="1" applyBorder="1" applyAlignment="1">
      <alignment horizontal="left" vertical="center" wrapText="1" indent="1"/>
    </xf>
    <xf numFmtId="0" fontId="78" fillId="0" borderId="16" xfId="0" applyFont="1" applyBorder="1" applyAlignment="1">
      <alignment horizontal="center" vertical="center"/>
    </xf>
    <xf numFmtId="0" fontId="78" fillId="0" borderId="71" xfId="0" applyFont="1" applyBorder="1" applyAlignment="1">
      <alignment horizontal="center" vertical="center"/>
    </xf>
    <xf numFmtId="0" fontId="78" fillId="0" borderId="15" xfId="0" applyFont="1" applyBorder="1" applyAlignment="1">
      <alignment horizontal="center" vertical="center"/>
    </xf>
    <xf numFmtId="0" fontId="70" fillId="0" borderId="68" xfId="0" applyFont="1" applyBorder="1" applyAlignment="1">
      <alignment horizontal="left" vertical="center" indent="1"/>
    </xf>
    <xf numFmtId="0" fontId="70" fillId="0" borderId="69" xfId="0" applyFont="1" applyBorder="1" applyAlignment="1">
      <alignment horizontal="left" vertical="center" indent="1"/>
    </xf>
    <xf numFmtId="0" fontId="70" fillId="0" borderId="70" xfId="0" applyFont="1" applyBorder="1" applyAlignment="1">
      <alignment horizontal="left" vertical="center" indent="1"/>
    </xf>
    <xf numFmtId="0" fontId="71" fillId="0" borderId="68" xfId="0" applyFont="1" applyBorder="1" applyAlignment="1">
      <alignment horizontal="left" vertical="center" wrapText="1"/>
    </xf>
    <xf numFmtId="0" fontId="71" fillId="0" borderId="69" xfId="0" applyFont="1" applyBorder="1" applyAlignment="1">
      <alignment horizontal="left" vertical="center" wrapText="1"/>
    </xf>
    <xf numFmtId="0" fontId="71" fillId="0" borderId="70" xfId="0" applyFont="1" applyBorder="1" applyAlignment="1">
      <alignment horizontal="left" vertical="center" wrapText="1"/>
    </xf>
    <xf numFmtId="0" fontId="78" fillId="0" borderId="16" xfId="0" applyFont="1" applyBorder="1" applyAlignment="1">
      <alignment horizontal="left" vertical="center"/>
    </xf>
    <xf numFmtId="0" fontId="78" fillId="0" borderId="71" xfId="0" applyFont="1" applyBorder="1" applyAlignment="1">
      <alignment horizontal="left" vertical="center"/>
    </xf>
    <xf numFmtId="0" fontId="78" fillId="0" borderId="15" xfId="0" applyFont="1" applyBorder="1" applyAlignment="1">
      <alignment horizontal="left" vertical="center"/>
    </xf>
    <xf numFmtId="0" fontId="79" fillId="0" borderId="16" xfId="0" applyFont="1" applyBorder="1" applyAlignment="1">
      <alignment horizontal="left" vertical="center"/>
    </xf>
    <xf numFmtId="0" fontId="79" fillId="0" borderId="71" xfId="0" applyFont="1" applyBorder="1" applyAlignment="1">
      <alignment horizontal="left" vertical="center"/>
    </xf>
    <xf numFmtId="0" fontId="79" fillId="0" borderId="1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44" fontId="0" fillId="0" borderId="63" xfId="0" applyNumberFormat="1" applyBorder="1" applyAlignment="1">
      <alignment horizontal="center" vertical="center"/>
    </xf>
    <xf numFmtId="44" fontId="0" fillId="0" borderId="64" xfId="0" applyNumberForma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11"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border outline="0"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border outline="0"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border outline="0"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[&lt;=99999999999]000\.000\.000\-00;00\.000\.000\/0000\-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theme="0" tint="-0.24994659260841701"/>
        </bottom>
      </border>
    </dxf>
    <dxf>
      <font>
        <b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gt;11111111111]\ \(00\)\ 00000\-0000;\ \(00\)\ 0000\-0000\ 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[&lt;=99999999999]000\.000\.000\-00;00\.000\.000\/0000\-00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theme="0" tint="-0.34998626667073579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6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6"/>
        <color rgb="FFFFF9E7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66" formatCode="_-&quot;R$&quot;* #,##0_-;\-&quot;R$&quot;* #,##0_-;_-&quot;R$&quot;* &quot;-&quot;??_-;_-@_-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color rgb="FFFFF9E7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b/>
        <strike val="0"/>
        <outline val="0"/>
        <shadow val="0"/>
        <u val="none"/>
        <vertAlign val="baseline"/>
        <sz val="8"/>
        <color rgb="FFFF7979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9" formatCode="dd/mm/yyyy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9" formatCode="dd/mm/yyyy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  <fill>
        <patternFill patternType="solid">
          <fgColor indexed="64"/>
          <bgColor rgb="FFFFF9E7"/>
        </patternFill>
      </fill>
      <alignment vertical="center" textRotation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vertical="center" textRotation="0" indent="0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/>
        <i val="0"/>
        <color rgb="FFF65881"/>
      </font>
    </dxf>
    <dxf>
      <font>
        <b/>
        <i val="0"/>
        <color theme="9"/>
      </font>
    </dxf>
    <dxf>
      <font>
        <color theme="1"/>
      </font>
    </dxf>
    <dxf>
      <font>
        <color theme="1"/>
      </font>
    </dxf>
    <dxf>
      <font>
        <color rgb="FFFFFF00"/>
      </font>
      <fill>
        <patternFill>
          <bgColor rgb="FFFF7979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rgb="FFFF7979"/>
      </font>
      <fill>
        <patternFill>
          <bgColor rgb="FFFF7979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&gt;11111111111]\ \(00\)\ 00000\-0000;\ \(00\)\ 0000\-0000\ 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&gt;11111111111]\ \(00\)\ 00000\-0000;\ \(00\)\ 0000\-0000\ 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F9E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[&lt;=99999999999]000\.000\.000\-00;00\.000\.000\/0000\-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[&lt;=99999999999]000\.000\.000\-00;00\.000\.000\/0000\-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[&lt;=99999999999]000\.000\.000\-00;00\.000\.000\/0000\-00"/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border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9"/>
      </font>
      <fill>
        <patternFill patternType="solid">
          <bgColor rgb="FFFFF9E7"/>
        </patternFill>
      </fill>
    </dxf>
    <dxf>
      <font>
        <b/>
        <i val="0"/>
        <color rgb="FFFF0000"/>
      </font>
      <fill>
        <patternFill>
          <bgColor rgb="FFFFF9E7"/>
        </patternFill>
      </fill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2" formatCode="mmm/yy"/>
    </dxf>
    <dxf>
      <numFmt numFmtId="22" formatCode="mmm/yy"/>
      <alignment horizontal="center"/>
    </dxf>
    <dxf>
      <font>
        <color theme="9" tint="0.39997558519241921"/>
      </font>
    </dxf>
    <dxf>
      <alignment horizontal="center"/>
    </dxf>
    <dxf>
      <numFmt numFmtId="22" formatCode="mmm/yy"/>
      <alignment horizontal="center"/>
    </dxf>
    <dxf>
      <alignment horizontal="center"/>
    </dxf>
    <dxf>
      <numFmt numFmtId="22" formatCode="mmm/yy"/>
      <alignment horizontal="general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numFmt numFmtId="167" formatCode="[Green]_-&quot;R$&quot;* #,##0.00_-;[Red]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0691854609822"/>
        </left>
        <right/>
        <top style="thin">
          <color theme="0" tint="-0.14990691854609822"/>
        </top>
        <bottom style="thin">
          <color theme="0" tint="-0.14990691854609822"/>
        </bottom>
        <vertical style="thin">
          <color theme="0" tint="-0.14990691854609822"/>
        </vertical>
        <horizontal style="thin">
          <color theme="0" tint="-0.149906918546098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2" formatCode="&quot;R$&quot;#,##0.00;[Red]\-&quot;R$&quot;#,##0.0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2" formatCode="mmm/yy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4" formatCode="_-&quot;R$&quot;* #,##0.00_-;\-&quot;R$&quot;* #,##0.00_-;_-&quot;R$&quot;* &quot;-&quot;??_-;_-@_-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strike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strike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strike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764000366222"/>
        </left>
        <right style="thin">
          <color theme="0" tint="-0.1498764000366222"/>
        </right>
        <top style="thin">
          <color theme="0" tint="-0.1498764000366222"/>
        </top>
        <bottom style="thin">
          <color theme="0" tint="-0.1498764000366222"/>
        </bottom>
        <vertical style="thin">
          <color theme="0" tint="-0.1498764000366222"/>
        </vertical>
        <horizontal style="thin">
          <color theme="0" tint="-0.1498764000366222"/>
        </horizontal>
      </border>
    </dxf>
    <dxf>
      <border>
        <top style="thin">
          <color theme="0" tint="-0.14990691854609822"/>
        </top>
      </border>
    </dxf>
    <dxf>
      <border diagonalUp="0" diagonalDown="0">
        <left style="thin">
          <color theme="0" tint="-0.14990691854609822"/>
        </left>
        <right style="thin">
          <color theme="0" tint="-0.14990691854609822"/>
        </right>
        <top style="thin">
          <color theme="0" tint="-0.14990691854609822"/>
        </top>
        <bottom style="thin">
          <color theme="0" tint="-0.14990691854609822"/>
        </bottom>
      </border>
    </dxf>
    <dxf>
      <numFmt numFmtId="2" formatCode="0.00"/>
      <alignment vertical="center" textRotation="0" wrapText="0" indent="0" justifyLastLine="0" shrinkToFit="0" readingOrder="0"/>
    </dxf>
    <dxf>
      <border>
        <bottom style="thin">
          <color theme="0" tint="-0.149906918546098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0691854609822"/>
        </left>
        <right style="thin">
          <color theme="0" tint="-0.14990691854609822"/>
        </right>
        <top/>
        <bottom/>
        <vertical style="thin">
          <color theme="0" tint="-0.14990691854609822"/>
        </vertical>
        <horizontal style="thin">
          <color theme="0" tint="-0.14990691854609822"/>
        </horizontal>
      </border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ont>
        <color theme="0"/>
      </font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ill>
        <patternFill>
          <bgColor rgb="FFFDF9DF"/>
        </patternFill>
      </fill>
    </dxf>
    <dxf>
      <fill>
        <patternFill>
          <bgColor rgb="FFFEE6FA"/>
        </patternFill>
      </fill>
    </dxf>
    <dxf>
      <fill>
        <patternFill>
          <bgColor rgb="FFE5FBD5"/>
        </patternFill>
      </fill>
    </dxf>
    <dxf>
      <font>
        <color theme="0"/>
      </font>
      <fill>
        <patternFill>
          <bgColor theme="9"/>
        </patternFill>
      </fill>
    </dxf>
    <dxf>
      <font>
        <color theme="7" tint="0.59996337778862885"/>
      </font>
      <fill>
        <patternFill>
          <bgColor rgb="FFFF0000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34" formatCode="_-&quot;R$&quot;* #,##0.00_-;\-&quot;R$&quot;* #,##0.00_-;_-&quot;R$&quot;* &quot;-&quot;??_-;_-@_-"/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1" tint="0.34998626667073579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theme="9"/>
      </font>
    </dxf>
    <dxf>
      <font>
        <color rgb="FFF65881"/>
      </font>
    </dxf>
    <dxf>
      <font>
        <color rgb="FFF65881"/>
      </font>
    </dxf>
    <dxf>
      <font>
        <color theme="9"/>
      </font>
    </dxf>
    <dxf>
      <font>
        <color theme="1" tint="0.34998626667073579"/>
      </font>
    </dxf>
    <dxf>
      <font>
        <color theme="9"/>
      </font>
    </dxf>
    <dxf>
      <font>
        <color rgb="FFF65881"/>
      </font>
    </dxf>
    <dxf>
      <font>
        <b/>
        <i val="0"/>
        <color theme="9"/>
      </font>
    </dxf>
    <dxf>
      <font>
        <b/>
        <i val="0"/>
        <color rgb="FFF65881"/>
      </font>
    </dxf>
    <dxf>
      <font>
        <color auto="1"/>
      </font>
      <fill>
        <patternFill>
          <bgColor theme="2"/>
        </patternFill>
      </fill>
    </dxf>
    <dxf>
      <font>
        <b/>
        <i val="0"/>
        <color theme="9"/>
      </font>
    </dxf>
    <dxf>
      <font>
        <b/>
        <i val="0"/>
        <color rgb="FFF65881"/>
      </font>
    </dxf>
    <dxf>
      <font>
        <b/>
        <i val="0"/>
        <color theme="9"/>
      </font>
    </dxf>
    <dxf>
      <font>
        <b/>
        <i val="0"/>
        <color rgb="FFF65881"/>
      </font>
    </dxf>
    <dxf>
      <font>
        <color theme="9"/>
      </font>
    </dxf>
    <dxf>
      <font>
        <color rgb="FFF65881"/>
      </font>
    </dxf>
  </dxfs>
  <tableStyles count="0" defaultTableStyle="TableStyleMedium2" defaultPivotStyle="PivotStyleLight16"/>
  <colors>
    <mruColors>
      <color rgb="FF1299AD"/>
      <color rgb="FFFEE6FA"/>
      <color rgb="FFE5FBD5"/>
      <color rgb="FFD1F7FB"/>
      <color rgb="FFE9FBFD"/>
      <color rgb="FFC0F1F8"/>
      <color rgb="FFFDF9DF"/>
      <color rgb="FFFBFEDE"/>
      <color rgb="FFFFFBEF"/>
      <color rgb="FFF2F8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Scroll" dx="31" fmlaLink="$A$15" max="20" min="1" page="10"/>
</file>

<file path=xl/ctrlProps/ctrlProp2.xml><?xml version="1.0" encoding="utf-8"?>
<formControlPr xmlns="http://schemas.microsoft.com/office/spreadsheetml/2009/9/main" objectType="Scroll" dx="31" fmlaLink="$J$2" horiz="1" max="240" page="10" val="6"/>
</file>

<file path=xl/ctrlProps/ctrlProp3.xml><?xml version="1.0" encoding="utf-8"?>
<formControlPr xmlns="http://schemas.microsoft.com/office/spreadsheetml/2009/9/main" objectType="Spin" dx="31" fmlaLink="$AE$3" inc="15" max="1500" page="10" val="24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13</xdr:row>
          <xdr:rowOff>146050</xdr:rowOff>
        </xdr:from>
        <xdr:to>
          <xdr:col>4</xdr:col>
          <xdr:colOff>609600</xdr:colOff>
          <xdr:row>23</xdr:row>
          <xdr:rowOff>342900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361950</xdr:rowOff>
        </xdr:from>
        <xdr:to>
          <xdr:col>10</xdr:col>
          <xdr:colOff>0</xdr:colOff>
          <xdr:row>2</xdr:row>
          <xdr:rowOff>38100</xdr:rowOff>
        </xdr:to>
        <xdr:sp macro="" textlink="">
          <xdr:nvSpPr>
            <xdr:cNvPr id="3077" name="Scroll Ba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1</xdr:col>
      <xdr:colOff>11338</xdr:colOff>
      <xdr:row>0</xdr:row>
      <xdr:rowOff>0</xdr:rowOff>
    </xdr:from>
    <xdr:to>
      <xdr:col>2</xdr:col>
      <xdr:colOff>2294844</xdr:colOff>
      <xdr:row>8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338" y="0"/>
          <a:ext cx="5828393" cy="304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50800</xdr:colOff>
          <xdr:row>0</xdr:row>
          <xdr:rowOff>146050</xdr:rowOff>
        </xdr:from>
        <xdr:to>
          <xdr:col>32</xdr:col>
          <xdr:colOff>165100</xdr:colOff>
          <xdr:row>3</xdr:row>
          <xdr:rowOff>0</xdr:rowOff>
        </xdr:to>
        <xdr:sp macro="" textlink="">
          <xdr:nvSpPr>
            <xdr:cNvPr id="9221" name="Spinner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62.891062731484" createdVersion="6" refreshedVersion="7" minRefreshableVersion="3" recordCount="351" xr:uid="{32BE2796-F41F-4FAA-A16D-75EBBECC7157}">
  <cacheSource type="worksheet">
    <worksheetSource name="Tabela_Movimentacao"/>
  </cacheSource>
  <cacheFields count="23">
    <cacheField name="Entrada" numFmtId="2">
      <sharedItems/>
    </cacheField>
    <cacheField name="Link" numFmtId="2">
      <sharedItems/>
    </cacheField>
    <cacheField name="Tipo" numFmtId="2">
      <sharedItems containsBlank="1" count="4">
        <s v="Aporte"/>
        <s v="Despesa"/>
        <s v="Receita"/>
        <m u="1"/>
      </sharedItems>
    </cacheField>
    <cacheField name="Categoria" numFmtId="2">
      <sharedItems containsBlank="1" count="11">
        <s v="Aportes"/>
        <s v="Serviços"/>
        <s v="Reforma"/>
        <s v="Impostos"/>
        <s v="Consumo"/>
        <s v="RH"/>
        <s v="Receitas"/>
        <s v="Manutenção"/>
        <s v="Financeiro"/>
        <m u="1"/>
        <s v="Imobiliário" u="1"/>
      </sharedItems>
    </cacheField>
    <cacheField name="Subcategoria" numFmtId="2">
      <sharedItems containsBlank="1" count="25">
        <s v="Sócio"/>
        <s v="Outros Serviços"/>
        <s v="Cartório"/>
        <s v="Serviços de Obra"/>
        <s v="IPTU"/>
        <s v="Material de Construção"/>
        <s v="Outras Taxas"/>
        <s v="Água"/>
        <s v="Reembolso"/>
        <s v="Taxa de Mobilização"/>
        <s v="Segurança"/>
        <s v="Juros e Multas"/>
        <s v="CIM"/>
        <m u="1"/>
        <s v="ICMS FRONTEIRA" u="1"/>
        <s v="Simples" u="1"/>
        <s v="SIMPLES Nacional" u="1"/>
        <s v="Mobiliario" u="1"/>
        <s v="Equipamento e Mobiliário" u="1"/>
        <s v="Taxas Bancárias" u="1"/>
        <s v="Detetização" u="1"/>
        <s v="Energia" u="1"/>
        <s v="Aluguel" u="1"/>
        <s v="Salários" u="1"/>
        <s v="Emissão Lucros" u="1"/>
      </sharedItems>
    </cacheField>
    <cacheField name="Descrição" numFmtId="2">
      <sharedItems/>
    </cacheField>
    <cacheField name="Data Entrada" numFmtId="14">
      <sharedItems containsSemiMixedTypes="0" containsNonDate="0" containsDate="1" containsString="0" minDate="2020-05-06T00:00:00" maxDate="2021-06-11T00:00:00"/>
    </cacheField>
    <cacheField name="Pagador" numFmtId="14">
      <sharedItems containsBlank="1"/>
    </cacheField>
    <cacheField name="Recebedor" numFmtId="0">
      <sharedItems/>
    </cacheField>
    <cacheField name="Negócio" numFmtId="2">
      <sharedItems/>
    </cacheField>
    <cacheField name="Valor" numFmtId="44">
      <sharedItems containsSemiMixedTypes="0" containsString="0" containsNumber="1" minValue="13.88" maxValue="13400"/>
    </cacheField>
    <cacheField name="Vencimento" numFmtId="14">
      <sharedItems containsSemiMixedTypes="0" containsNonDate="0" containsDate="1" containsString="0" minDate="2020-05-06T00:00:00" maxDate="2021-12-04T00:00:00"/>
    </cacheField>
    <cacheField name="Modo Pagamento" numFmtId="14">
      <sharedItems/>
    </cacheField>
    <cacheField name="Cancelar" numFmtId="14">
      <sharedItems containsNonDate="0" containsString="0" containsBlank="1"/>
    </cacheField>
    <cacheField name="Prorrogar" numFmtId="14">
      <sharedItems containsNonDate="0" containsString="0" containsBlank="1"/>
    </cacheField>
    <cacheField name="Pagamento" numFmtId="14">
      <sharedItems containsNonDate="0" containsDate="1" containsString="0" containsBlank="1" minDate="2020-05-06T00:00:00" maxDate="2021-06-11T00:00:00" count="91">
        <d v="2020-05-06T00:00:00"/>
        <d v="2020-08-10T00:00:00"/>
        <d v="2020-08-24T00:00:00"/>
        <d v="2020-08-27T00:00:00"/>
        <d v="2020-09-02T00:00:00"/>
        <d v="2020-09-10T00:00:00"/>
        <d v="2020-09-30T00:00:00"/>
        <d v="2020-10-02T00:00:00"/>
        <d v="2020-10-13T00:00:00"/>
        <d v="2020-10-09T00:00:00"/>
        <d v="2020-10-10T00:00:00"/>
        <d v="2020-10-14T00:00:00"/>
        <d v="2020-10-21T00:00:00"/>
        <d v="2020-10-28T00:00:00"/>
        <d v="2020-10-29T00:00:00"/>
        <d v="2020-12-21T00:00:00"/>
        <d v="2020-11-30T00:00:00"/>
        <d v="2020-10-31T00:00:00"/>
        <d v="2020-11-04T00:00:00"/>
        <d v="2020-12-03T00:00:00"/>
        <d v="2020-11-07T00:00:00"/>
        <d v="2020-12-07T00:00:00"/>
        <d v="2020-11-05T00:00:00"/>
        <d v="2020-11-06T00:00:00"/>
        <d v="2020-11-09T00:00:00"/>
        <d v="2020-11-10T00:00:00"/>
        <d v="2020-11-11T00:00:00"/>
        <d v="2020-11-13T00:00:00"/>
        <d v="2020-11-17T00:00:00"/>
        <d v="2020-11-19T00:00:00"/>
        <d v="2020-11-20T00:00:00"/>
        <d v="2020-11-27T00:00:00"/>
        <d v="2020-12-01T00:00:00"/>
        <d v="2020-12-02T00:00:00"/>
        <d v="2020-12-04T00:00:00"/>
        <d v="2020-12-10T00:00:00"/>
        <d v="2020-12-24T00:00:00"/>
        <d v="2020-12-15T00:00:00"/>
        <d v="2020-12-16T00:00:00"/>
        <d v="2020-12-22T00:00:00"/>
        <d v="2021-01-15T00:00:00"/>
        <d v="2021-03-03T00:00:00"/>
        <d v="2021-04-16T00:00:00"/>
        <d v="2021-05-26T00:00:00"/>
        <m/>
        <d v="2020-12-28T00:00:00"/>
        <d v="2020-12-29T00:00:00"/>
        <d v="2021-01-04T00:00:00"/>
        <d v="2021-01-08T00:00:00"/>
        <d v="2021-01-19T00:00:00"/>
        <d v="2021-01-26T00:00:00"/>
        <d v="2021-01-30T00:00:00"/>
        <d v="2021-01-27T00:00:00"/>
        <d v="2021-01-29T00:00:00"/>
        <d v="2021-02-01T00:00:00"/>
        <d v="2021-02-03T00:00:00"/>
        <d v="2021-01-21T00:00:00"/>
        <d v="2021-02-09T00:00:00"/>
        <d v="2021-02-08T00:00:00"/>
        <d v="2021-02-11T00:00:00"/>
        <d v="2021-02-12T00:00:00"/>
        <d v="2021-02-18T00:00:00"/>
        <d v="2021-02-26T00:00:00"/>
        <d v="2021-03-01T00:00:00"/>
        <d v="2021-03-02T00:00:00"/>
        <d v="2021-03-11T00:00:00"/>
        <d v="2021-02-10T00:00:00"/>
        <d v="2021-03-10T00:00:00"/>
        <d v="2021-03-17T00:00:00"/>
        <d v="2021-03-15T00:00:00"/>
        <d v="2021-03-24T00:00:00"/>
        <d v="2021-03-26T00:00:00"/>
        <d v="2021-04-05T00:00:00"/>
        <d v="2021-04-01T00:00:00"/>
        <d v="2021-04-09T00:00:00"/>
        <d v="2021-04-10T00:00:00"/>
        <d v="2021-04-14T00:00:00"/>
        <d v="2021-04-19T00:00:00"/>
        <d v="2021-04-20T00:00:00"/>
        <d v="2021-04-30T00:00:00"/>
        <d v="2021-05-01T00:00:00"/>
        <d v="2021-04-22T00:00:00"/>
        <d v="2021-05-03T00:00:00"/>
        <d v="2021-05-13T00:00:00"/>
        <d v="2021-05-10T00:00:00"/>
        <d v="2021-05-06T00:00:00"/>
        <d v="2021-05-14T00:00:00"/>
        <d v="2021-05-11T00:00:00"/>
        <d v="2021-05-08T00:00:00"/>
        <d v="2021-01-12T00:00:00"/>
        <d v="2021-06-10T00:00:00"/>
      </sharedItems>
      <fieldGroup par="22" base="15">
        <rangePr groupBy="days" startDate="2020-05-06T00:00:00" endDate="2021-06-11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06/2021"/>
        </groupItems>
      </fieldGroup>
    </cacheField>
    <cacheField name="Status" numFmtId="2">
      <sharedItems/>
    </cacheField>
    <cacheField name="Vencimento Útil" numFmtId="14">
      <sharedItems containsSemiMixedTypes="0" containsNonDate="0" containsDate="1" containsString="0" minDate="2020-05-06T00:00:00" maxDate="2021-12-04T00:00:00"/>
    </cacheField>
    <cacheField name="Mês Referência" numFmtId="17">
      <sharedItems containsDate="1" containsMixedTypes="1" minDate="2020-05-01T00:00:00" maxDate="2021-10-02T00:00:00" count="17">
        <d v="2020-05-01T00:00:00"/>
        <d v="2020-08-01T00:00:00"/>
        <d v="2020-09-01T00:00:00"/>
        <d v="2020-10-01T00:00:00"/>
        <d v="2020-12-01T00:00:00"/>
        <d v="2020-11-01T00:00:00"/>
        <d v="2021-01-01T00:00:00"/>
        <d v="2021-03-01T00:00:00"/>
        <d v="2021-04-01T00:00:00"/>
        <d v="2021-05-01T00:00:00"/>
        <s v="Provisionado"/>
        <d v="2021-02-01T00:00:00"/>
        <d v="2021-06-01T00:00:00"/>
        <s v="" u="1"/>
        <d v="2021-09-01T00:00:00" u="1"/>
        <d v="2021-08-01T00:00:00" u="1"/>
        <d v="2021-10-01T00:00:00" u="1"/>
      </sharedItems>
    </cacheField>
    <cacheField name="Valor Balanço" numFmtId="8">
      <sharedItems containsSemiMixedTypes="0" containsString="0" containsNumber="1" minValue="-13400" maxValue="13400"/>
    </cacheField>
    <cacheField name="Valor Fluxo" numFmtId="44">
      <sharedItems containsSemiMixedTypes="0" containsString="0" containsNumber="1" containsInteger="1" minValue="0" maxValue="190"/>
    </cacheField>
    <cacheField name="Valor Real" numFmtId="44">
      <sharedItems containsMixedTypes="1" containsNumber="1" minValue="13.88" maxValue="13400"/>
    </cacheField>
    <cacheField name="Meses" numFmtId="0" databaseField="0">
      <fieldGroup base="15">
        <rangePr groupBy="months" startDate="2020-05-06T00:00:00" endDate="2021-06-11T00:00:00"/>
        <groupItems count="14">
          <s v="&lt;06/05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1/06/2021"/>
        </groupItems>
      </fieldGroup>
    </cacheField>
  </cacheFields>
  <extLst>
    <ext xmlns:x14="http://schemas.microsoft.com/office/spreadsheetml/2009/9/main" uri="{725AE2AE-9491-48be-B2B4-4EB974FC3084}">
      <x14:pivotCacheDefinition pivotCacheId="19805794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s v="E1"/>
    <s v="FILE"/>
    <x v="0"/>
    <x v="0"/>
    <x v="0"/>
    <s v="pagamento Dominio.br"/>
    <d v="2020-05-06T00:00:00"/>
    <s v="Bruno"/>
    <s v="Go Kitchen"/>
    <s v="Madalena"/>
    <n v="40"/>
    <d v="2020-05-06T00:00:00"/>
    <s v="Boleto"/>
    <m/>
    <m/>
    <x v="0"/>
    <s v="Pago"/>
    <d v="2020-05-06T00:00:00"/>
    <x v="0"/>
    <n v="40"/>
    <n v="0"/>
    <n v="40"/>
  </r>
  <r>
    <s v="E2"/>
    <s v="FILE"/>
    <x v="1"/>
    <x v="1"/>
    <x v="1"/>
    <s v="Registro domínio WEB"/>
    <d v="2020-05-06T00:00:00"/>
    <s v="Bruno"/>
    <s v="dominio.br"/>
    <s v="Madalena"/>
    <n v="40"/>
    <d v="2020-05-06T00:00:00"/>
    <s v="Boleto"/>
    <m/>
    <m/>
    <x v="0"/>
    <s v="Pago"/>
    <d v="2020-05-06T00:00:00"/>
    <x v="0"/>
    <n v="-40"/>
    <n v="0"/>
    <n v="40"/>
  </r>
  <r>
    <s v="E3"/>
    <s v="FILE"/>
    <x v="0"/>
    <x v="0"/>
    <x v="0"/>
    <s v="Registro de Marca"/>
    <d v="2020-08-10T00:00:00"/>
    <s v="Bruno"/>
    <s v="Go Kitchen"/>
    <s v="Madalena"/>
    <n v="142"/>
    <d v="2020-08-10T00:00:00"/>
    <s v="Boleto"/>
    <m/>
    <m/>
    <x v="1"/>
    <s v="Pago"/>
    <d v="2020-08-10T00:00:00"/>
    <x v="1"/>
    <n v="142"/>
    <n v="0"/>
    <n v="142"/>
  </r>
  <r>
    <s v="E4"/>
    <s v="FILE"/>
    <x v="1"/>
    <x v="1"/>
    <x v="1"/>
    <s v="Registro de Marca"/>
    <d v="2020-08-10T00:00:00"/>
    <s v="Bruno"/>
    <s v="INPI"/>
    <s v="Madalena"/>
    <n v="142"/>
    <d v="2020-08-10T00:00:00"/>
    <s v="Boleto"/>
    <m/>
    <m/>
    <x v="1"/>
    <s v="Pago"/>
    <d v="2020-08-10T00:00:00"/>
    <x v="1"/>
    <n v="-142"/>
    <n v="0"/>
    <n v="142"/>
  </r>
  <r>
    <s v="E5"/>
    <s v="FILE"/>
    <x v="0"/>
    <x v="0"/>
    <x v="0"/>
    <s v="Reconhecimento de Firma para contrato de aluguel"/>
    <d v="2020-08-24T00:00:00"/>
    <s v="Bruno"/>
    <s v="Go Kitchen"/>
    <s v="Madalena"/>
    <n v="31.4"/>
    <d v="2020-08-24T00:00:00"/>
    <s v="Crédito"/>
    <m/>
    <m/>
    <x v="2"/>
    <s v="Pago"/>
    <d v="2020-08-24T00:00:00"/>
    <x v="1"/>
    <n v="31.4"/>
    <n v="0"/>
    <n v="31.4"/>
  </r>
  <r>
    <s v="E6"/>
    <s v="FILE"/>
    <x v="1"/>
    <x v="1"/>
    <x v="2"/>
    <s v="Reconhecimento de Firma para contrato de aluguel"/>
    <d v="2020-08-24T00:00:00"/>
    <s v="Bruno"/>
    <s v="Tabelionato Figueiredo"/>
    <s v="Madalena"/>
    <n v="31.4"/>
    <d v="2020-08-24T00:00:00"/>
    <s v="Crédito"/>
    <m/>
    <m/>
    <x v="2"/>
    <s v="Pago"/>
    <d v="2020-08-24T00:00:00"/>
    <x v="1"/>
    <n v="-31.4"/>
    <n v="0"/>
    <n v="31.4"/>
  </r>
  <r>
    <s v="E7"/>
    <s v="FILE"/>
    <x v="0"/>
    <x v="0"/>
    <x v="0"/>
    <s v="CADBlocks"/>
    <d v="2020-08-27T00:00:00"/>
    <s v="Bruno"/>
    <s v="Go Kitchen"/>
    <s v="Madalena"/>
    <n v="69.989999999999995"/>
    <d v="2020-08-27T00:00:00"/>
    <s v="Crédito"/>
    <m/>
    <m/>
    <x v="3"/>
    <s v="Pago"/>
    <d v="2020-08-27T00:00:00"/>
    <x v="1"/>
    <n v="69.989999999999995"/>
    <n v="0"/>
    <n v="69.989999999999995"/>
  </r>
  <r>
    <s v="E8"/>
    <s v="FILE"/>
    <x v="1"/>
    <x v="1"/>
    <x v="1"/>
    <s v="CADBlocks"/>
    <d v="2020-08-27T00:00:00"/>
    <s v="Bruno"/>
    <s v="CADBlocos.arq"/>
    <s v="Madalena"/>
    <n v="69.989999999999995"/>
    <d v="2020-08-27T00:00:00"/>
    <s v="Crédito"/>
    <m/>
    <m/>
    <x v="3"/>
    <s v="Pago"/>
    <d v="2020-08-27T00:00:00"/>
    <x v="1"/>
    <n v="-69.989999999999995"/>
    <n v="0"/>
    <n v="69.989999999999995"/>
  </r>
  <r>
    <s v="E9"/>
    <s v="FILE"/>
    <x v="1"/>
    <x v="2"/>
    <x v="3"/>
    <s v="Arquiteta Entrada 50%"/>
    <d v="2020-09-02T00:00:00"/>
    <s v="Luiz Tiago"/>
    <s v="Alessandra Moura"/>
    <s v="Madalena"/>
    <n v="1300"/>
    <d v="2020-09-02T00:00:00"/>
    <s v="Transferência Bancária"/>
    <m/>
    <m/>
    <x v="4"/>
    <s v="Pago"/>
    <d v="2020-09-02T00:00:00"/>
    <x v="2"/>
    <n v="-1300"/>
    <n v="0"/>
    <n v="1300"/>
  </r>
  <r>
    <s v="E10"/>
    <s v="FILE"/>
    <x v="0"/>
    <x v="0"/>
    <x v="0"/>
    <s v="Arquiteta Entrada 50%"/>
    <d v="2020-09-02T00:00:00"/>
    <s v="Luiz Tiago"/>
    <s v="Go Kitchen"/>
    <s v="Madalena"/>
    <n v="1300"/>
    <d v="2020-09-02T00:00:00"/>
    <s v="Transferência Bancária"/>
    <m/>
    <m/>
    <x v="4"/>
    <s v="Pago"/>
    <d v="2020-09-02T00:00:00"/>
    <x v="2"/>
    <n v="1300"/>
    <n v="0"/>
    <n v="1300"/>
  </r>
  <r>
    <s v="E11"/>
    <s v="FILE"/>
    <x v="0"/>
    <x v="0"/>
    <x v="0"/>
    <s v="IPTU 08.2020"/>
    <d v="2020-09-10T00:00:00"/>
    <s v="Bruno"/>
    <s v="Go Kitchen"/>
    <s v="Madalena"/>
    <n v="939.21"/>
    <d v="2020-09-10T00:00:00"/>
    <s v="Transferência Bancária"/>
    <m/>
    <m/>
    <x v="5"/>
    <s v="Pago"/>
    <d v="2020-09-10T00:00:00"/>
    <x v="2"/>
    <n v="939.21"/>
    <n v="0"/>
    <n v="939.21"/>
  </r>
  <r>
    <s v="E12"/>
    <s v="FILE"/>
    <x v="1"/>
    <x v="3"/>
    <x v="4"/>
    <s v="IPTU 08.2020"/>
    <d v="2020-09-10T00:00:00"/>
    <s v="Bruno"/>
    <s v="Prefeitura do Recife"/>
    <s v="Madalena"/>
    <n v="939.21"/>
    <d v="2020-09-10T00:00:00"/>
    <s v="Boleto"/>
    <m/>
    <m/>
    <x v="5"/>
    <s v="Pago"/>
    <d v="2020-09-10T00:00:00"/>
    <x v="2"/>
    <n v="-939.21"/>
    <n v="0"/>
    <n v="939.21"/>
  </r>
  <r>
    <s v="E13"/>
    <s v="FILE"/>
    <x v="0"/>
    <x v="0"/>
    <x v="0"/>
    <s v="56% do pagamento planejado para o dia 2/10 - Obra"/>
    <d v="2020-09-30T00:00:00"/>
    <s v="Bruno"/>
    <s v="Go Kitchen"/>
    <s v="Madalena"/>
    <n v="2934.28"/>
    <d v="2020-09-30T00:00:00"/>
    <s v="Transferência Bancária"/>
    <m/>
    <m/>
    <x v="6"/>
    <s v="Pago"/>
    <d v="2020-09-30T00:00:00"/>
    <x v="2"/>
    <n v="2934.28"/>
    <n v="0"/>
    <n v="2934.28"/>
  </r>
  <r>
    <s v="E14"/>
    <s v="FILE"/>
    <x v="1"/>
    <x v="2"/>
    <x v="5"/>
    <s v="56% do pagamento planejado para o dia 2/10 - Obra"/>
    <d v="2020-09-30T00:00:00"/>
    <s v="Bruno"/>
    <s v="CA Reformas"/>
    <s v="Madalena"/>
    <n v="2934.28"/>
    <d v="2020-09-30T00:00:00"/>
    <s v="Transferência Bancária"/>
    <m/>
    <m/>
    <x v="6"/>
    <s v="Pago"/>
    <d v="2020-09-30T00:00:00"/>
    <x v="2"/>
    <n v="-2934.28"/>
    <n v="0"/>
    <n v="2934.28"/>
  </r>
  <r>
    <s v="E15"/>
    <s v="FILE"/>
    <x v="0"/>
    <x v="0"/>
    <x v="0"/>
    <s v="22% do pagamento planejado para o dia 2/10 - Obra"/>
    <d v="2020-10-02T00:00:00"/>
    <s v="Matheus"/>
    <s v="Go Kitchen"/>
    <s v="Madalena"/>
    <n v="1177.8800000000001"/>
    <d v="2020-10-02T00:00:00"/>
    <s v="Transferência Bancária"/>
    <m/>
    <m/>
    <x v="7"/>
    <s v="Pago"/>
    <d v="2020-10-02T00:00:00"/>
    <x v="3"/>
    <n v="1177.8800000000001"/>
    <n v="0"/>
    <n v="1177.8800000000001"/>
  </r>
  <r>
    <s v="E16"/>
    <s v="FILE"/>
    <x v="0"/>
    <x v="0"/>
    <x v="0"/>
    <s v="22% do pagamento planejado para o dia 2/10 - Obra"/>
    <d v="2020-10-02T00:00:00"/>
    <s v="Luiz Tiago"/>
    <s v="Go Kitchen"/>
    <s v="Madalena"/>
    <n v="1177.8800000000001"/>
    <d v="2020-10-02T00:00:00"/>
    <s v="Transferência Bancária"/>
    <m/>
    <m/>
    <x v="7"/>
    <s v="Pago"/>
    <d v="2020-10-02T00:00:00"/>
    <x v="3"/>
    <n v="1177.8800000000001"/>
    <n v="0"/>
    <n v="1177.8800000000001"/>
  </r>
  <r>
    <s v="E17"/>
    <s v="FILE"/>
    <x v="1"/>
    <x v="2"/>
    <x v="3"/>
    <s v="22% do pagamento planejado para o dia 2/10 - Obra"/>
    <d v="2020-10-02T00:00:00"/>
    <s v="Matheus"/>
    <s v="CA Reformas"/>
    <s v="Madalena"/>
    <n v="1177.8800000000001"/>
    <d v="2020-10-02T00:00:00"/>
    <s v="Transferência Bancária"/>
    <m/>
    <m/>
    <x v="7"/>
    <s v="Pago"/>
    <d v="2020-10-02T00:00:00"/>
    <x v="3"/>
    <n v="-1177.8800000000001"/>
    <n v="0"/>
    <n v="1177.8800000000001"/>
  </r>
  <r>
    <s v="E18"/>
    <s v="FILE"/>
    <x v="1"/>
    <x v="2"/>
    <x v="3"/>
    <s v="22% do pagamento planejado para o dia 2/10 - Obra"/>
    <d v="2020-10-02T00:00:00"/>
    <s v="Luiz Tiago"/>
    <s v="CA Reformas"/>
    <s v="Madalena"/>
    <n v="1177.8800000000001"/>
    <d v="2020-10-02T00:00:00"/>
    <s v="Transferência Bancária"/>
    <m/>
    <m/>
    <x v="7"/>
    <s v="Pago"/>
    <d v="2020-10-02T00:00:00"/>
    <x v="3"/>
    <n v="-1177.8800000000001"/>
    <n v="0"/>
    <n v="1177.8800000000001"/>
  </r>
  <r>
    <s v="E19"/>
    <s v="FILE"/>
    <x v="1"/>
    <x v="2"/>
    <x v="3"/>
    <s v="25% do pagamento planejado para o dia 9/10 - Obra"/>
    <d v="2020-10-09T00:00:00"/>
    <s v="Matheus"/>
    <s v="CA Reformas"/>
    <s v="Madalena"/>
    <n v="1910"/>
    <d v="2020-10-13T00:00:00"/>
    <s v="Transferência Bancária"/>
    <m/>
    <m/>
    <x v="8"/>
    <s v="Pago"/>
    <d v="2020-10-13T00:00:00"/>
    <x v="3"/>
    <n v="-1910"/>
    <n v="0"/>
    <n v="1910"/>
  </r>
  <r>
    <s v="E20"/>
    <s v="FILE"/>
    <x v="0"/>
    <x v="0"/>
    <x v="0"/>
    <s v="50% do pagamento da ceramica 45x45 para o piso"/>
    <d v="2020-10-09T00:00:00"/>
    <s v="Matheus"/>
    <s v="Go Kitchen"/>
    <s v="Madalena"/>
    <n v="3374.75"/>
    <d v="2020-10-09T00:00:00"/>
    <s v="Crédito"/>
    <m/>
    <m/>
    <x v="9"/>
    <s v="Pago"/>
    <d v="2020-10-09T00:00:00"/>
    <x v="3"/>
    <n v="3374.75"/>
    <n v="0"/>
    <n v="3374.75"/>
  </r>
  <r>
    <s v="E21"/>
    <s v="FILE"/>
    <x v="0"/>
    <x v="0"/>
    <x v="0"/>
    <s v="50% do pagamento da ceramica 45x45 para o piso"/>
    <d v="2020-10-09T00:00:00"/>
    <s v="Bruno"/>
    <s v="Go Kitchen"/>
    <s v="Madalena"/>
    <n v="3375"/>
    <d v="2020-10-09T00:00:00"/>
    <s v="Crédito"/>
    <m/>
    <m/>
    <x v="9"/>
    <s v="Pago"/>
    <d v="2020-10-09T00:00:00"/>
    <x v="3"/>
    <n v="3375"/>
    <n v="0"/>
    <n v="3375"/>
  </r>
  <r>
    <s v="E22"/>
    <s v="FILE"/>
    <x v="1"/>
    <x v="2"/>
    <x v="5"/>
    <s v="50% do pagamento da ceramica 45x45 para o piso"/>
    <d v="2020-10-09T00:00:00"/>
    <s v="Matheus"/>
    <s v="Piso e CIA"/>
    <s v="Madalena"/>
    <n v="3374.75"/>
    <d v="2020-10-09T00:00:00"/>
    <s v="Transferência Bancária"/>
    <m/>
    <m/>
    <x v="9"/>
    <s v="Pago"/>
    <d v="2020-10-09T00:00:00"/>
    <x v="3"/>
    <n v="-3374.75"/>
    <n v="0"/>
    <n v="3374.75"/>
  </r>
  <r>
    <s v="E23"/>
    <s v="FILE"/>
    <x v="1"/>
    <x v="2"/>
    <x v="5"/>
    <s v="50% do pagamento da ceramica 45x45 para o piso"/>
    <d v="2020-10-09T00:00:00"/>
    <s v="Bruno"/>
    <s v="Piso e CIA"/>
    <s v="Madalena"/>
    <n v="3375"/>
    <d v="2020-10-09T00:00:00"/>
    <s v="Transferência Bancária"/>
    <m/>
    <m/>
    <x v="9"/>
    <s v="Pago"/>
    <d v="2020-10-09T00:00:00"/>
    <x v="3"/>
    <n v="-3375"/>
    <n v="0"/>
    <n v="3375"/>
  </r>
  <r>
    <s v="E24"/>
    <s v="FILE"/>
    <x v="0"/>
    <x v="0"/>
    <x v="0"/>
    <s v="IPTU 09.2020"/>
    <d v="2020-10-10T00:00:00"/>
    <s v="Bruno"/>
    <s v="Go Kitchen"/>
    <s v="Madalena"/>
    <n v="939.21"/>
    <d v="2020-10-10T00:00:00"/>
    <s v="Boleto"/>
    <m/>
    <m/>
    <x v="10"/>
    <s v="Pago"/>
    <d v="2020-10-13T00:00:00"/>
    <x v="3"/>
    <n v="939.21"/>
    <n v="0"/>
    <n v="939.21"/>
  </r>
  <r>
    <s v="E25"/>
    <s v="FILE"/>
    <x v="1"/>
    <x v="3"/>
    <x v="4"/>
    <s v="IPTU 09.2020"/>
    <d v="2020-10-10T00:00:00"/>
    <s v="Bruno"/>
    <s v="Prefeitura do Recife"/>
    <s v="Madalena"/>
    <n v="939.21"/>
    <d v="2020-10-10T00:00:00"/>
    <s v="Boleto"/>
    <m/>
    <m/>
    <x v="10"/>
    <s v="Pago"/>
    <d v="2020-10-13T00:00:00"/>
    <x v="3"/>
    <n v="-939.21"/>
    <n v="0"/>
    <n v="939.21"/>
  </r>
  <r>
    <s v="E26"/>
    <s v="FILE"/>
    <x v="0"/>
    <x v="0"/>
    <x v="0"/>
    <s v="25% do pagamento planejado para o dia 9/10 - Obra"/>
    <d v="2020-10-13T00:00:00"/>
    <s v="Matheus"/>
    <s v="Go Kitchen"/>
    <s v="Madalena"/>
    <n v="1910"/>
    <d v="2020-10-13T00:00:00"/>
    <s v="Transferência Bancária"/>
    <m/>
    <m/>
    <x v="8"/>
    <s v="Pago"/>
    <d v="2020-10-13T00:00:00"/>
    <x v="3"/>
    <n v="1910"/>
    <n v="0"/>
    <n v="1910"/>
  </r>
  <r>
    <s v="E27"/>
    <s v="FILE"/>
    <x v="0"/>
    <x v="0"/>
    <x v="0"/>
    <s v="25% do pagamento planejado para o dia 9/10 - Obra"/>
    <d v="2020-10-14T00:00:00"/>
    <s v="Luiz Tiago"/>
    <s v="Go Kitchen"/>
    <s v="Madalena"/>
    <n v="1910"/>
    <d v="2020-10-14T00:00:00"/>
    <s v="Transferência Bancária"/>
    <m/>
    <m/>
    <x v="11"/>
    <s v="Pago"/>
    <d v="2020-10-14T00:00:00"/>
    <x v="3"/>
    <n v="1910"/>
    <n v="0"/>
    <n v="1910"/>
  </r>
  <r>
    <s v="E28"/>
    <s v="FILE"/>
    <x v="1"/>
    <x v="2"/>
    <x v="3"/>
    <s v="25% do pagamento planejado para o dia 9/10 - Obra"/>
    <d v="2020-10-14T00:00:00"/>
    <s v="Luiz Tiago"/>
    <s v="CA Reformas"/>
    <s v="Madalena"/>
    <n v="1910"/>
    <d v="2020-10-14T00:00:00"/>
    <s v="Transferência Bancária"/>
    <m/>
    <m/>
    <x v="11"/>
    <s v="Pago"/>
    <d v="2020-10-14T00:00:00"/>
    <x v="3"/>
    <n v="-1910"/>
    <n v="0"/>
    <n v="1910"/>
  </r>
  <r>
    <s v="E29"/>
    <s v="FILE"/>
    <x v="0"/>
    <x v="0"/>
    <x v="0"/>
    <s v="50% do pagamento planejado para o dia 9/10 - Obra"/>
    <d v="2020-10-14T00:00:00"/>
    <s v="Bruno"/>
    <s v="Go Kitchen"/>
    <s v="Madalena"/>
    <n v="3820"/>
    <d v="2020-10-14T00:00:00"/>
    <s v="Transferência Bancária"/>
    <m/>
    <m/>
    <x v="11"/>
    <s v="Pago"/>
    <d v="2020-10-14T00:00:00"/>
    <x v="3"/>
    <n v="3820"/>
    <n v="0"/>
    <n v="3820"/>
  </r>
  <r>
    <s v="E30"/>
    <s v="FILE"/>
    <x v="1"/>
    <x v="2"/>
    <x v="5"/>
    <s v="50% do pagamento planejado para o dia 9/10 - Obra"/>
    <d v="2020-10-14T00:00:00"/>
    <s v="Bruno"/>
    <s v="CA Reformas"/>
    <s v="Madalena"/>
    <n v="3820"/>
    <d v="2020-10-14T00:00:00"/>
    <s v="Transferência Bancária"/>
    <m/>
    <m/>
    <x v="11"/>
    <s v="Pago"/>
    <d v="2020-10-14T00:00:00"/>
    <x v="3"/>
    <n v="-3820"/>
    <n v="0"/>
    <n v="3820"/>
  </r>
  <r>
    <s v="E31"/>
    <s v="FILE"/>
    <x v="0"/>
    <x v="0"/>
    <x v="0"/>
    <s v="25% do pagamento planejado para o dia 16/10 - Obra"/>
    <d v="2020-10-21T00:00:00"/>
    <s v="Luiz Tiago"/>
    <s v="Go Kitchen"/>
    <s v="Madalena"/>
    <n v="2553.75"/>
    <d v="2020-10-21T00:00:00"/>
    <s v="Transferência Bancária"/>
    <m/>
    <m/>
    <x v="12"/>
    <s v="Pago"/>
    <d v="2020-10-21T00:00:00"/>
    <x v="3"/>
    <n v="2553.75"/>
    <n v="0"/>
    <n v="2553.75"/>
  </r>
  <r>
    <s v="E32"/>
    <s v="FILE"/>
    <x v="0"/>
    <x v="0"/>
    <x v="0"/>
    <s v="25% do pagamento planejado para o dia 16/10 - Obra"/>
    <d v="2020-10-21T00:00:00"/>
    <s v="Matheus"/>
    <s v="Go Kitchen"/>
    <s v="Madalena"/>
    <n v="2553.75"/>
    <d v="2020-10-21T00:00:00"/>
    <s v="Transferência Bancária"/>
    <m/>
    <m/>
    <x v="12"/>
    <s v="Pago"/>
    <d v="2020-10-21T00:00:00"/>
    <x v="3"/>
    <n v="2553.75"/>
    <n v="0"/>
    <n v="2553.75"/>
  </r>
  <r>
    <s v="E33"/>
    <s v="FILE"/>
    <x v="1"/>
    <x v="2"/>
    <x v="3"/>
    <s v="25% do pagamento planejado para o dia 16/10 - Obra"/>
    <d v="2020-10-21T00:00:00"/>
    <s v="Luiz Tiago"/>
    <s v="CA Reformas"/>
    <s v="Madalena"/>
    <n v="2553.75"/>
    <d v="2020-10-21T00:00:00"/>
    <s v="Transferência Bancária"/>
    <m/>
    <m/>
    <x v="12"/>
    <s v="Pago"/>
    <d v="2020-10-21T00:00:00"/>
    <x v="3"/>
    <n v="-2553.75"/>
    <n v="0"/>
    <n v="2553.75"/>
  </r>
  <r>
    <s v="E34"/>
    <s v="FILE"/>
    <x v="1"/>
    <x v="2"/>
    <x v="5"/>
    <s v="25% do pagamento planejado para o dia 16/10 - Obra"/>
    <d v="2020-10-21T00:00:00"/>
    <s v="Matheus"/>
    <s v="CA Reformas"/>
    <s v="Madalena"/>
    <n v="2553.75"/>
    <d v="2020-10-21T00:00:00"/>
    <s v="Transferência Bancária"/>
    <m/>
    <m/>
    <x v="12"/>
    <s v="Pago"/>
    <d v="2020-10-21T00:00:00"/>
    <x v="3"/>
    <n v="-2553.75"/>
    <n v="0"/>
    <n v="2553.75"/>
  </r>
  <r>
    <s v="E35"/>
    <s v="FILE"/>
    <x v="0"/>
    <x v="0"/>
    <x v="0"/>
    <s v="50% do pagamento planejado para o dia 16/10 - Obra"/>
    <d v="2020-10-21T00:00:00"/>
    <s v="Bruno"/>
    <s v="Go Kitchen"/>
    <s v="Madalena"/>
    <n v="5107.5"/>
    <d v="2020-10-21T00:00:00"/>
    <s v="Transferência Bancária"/>
    <m/>
    <m/>
    <x v="12"/>
    <s v="Pago"/>
    <d v="2020-10-21T00:00:00"/>
    <x v="3"/>
    <n v="5107.5"/>
    <n v="0"/>
    <n v="5107.5"/>
  </r>
  <r>
    <s v="E36"/>
    <s v="FILE"/>
    <x v="1"/>
    <x v="2"/>
    <x v="3"/>
    <s v="50% do pagamento planejado para o dia 16/10 - Obra"/>
    <d v="2020-10-21T00:00:00"/>
    <s v="Bruno"/>
    <s v="CA Reformas"/>
    <s v="Madalena"/>
    <n v="5107.5"/>
    <d v="2020-10-21T00:00:00"/>
    <s v="Transferência Bancária"/>
    <m/>
    <m/>
    <x v="12"/>
    <s v="Pago"/>
    <d v="2020-10-21T00:00:00"/>
    <x v="3"/>
    <n v="-5107.5"/>
    <n v="0"/>
    <n v="5107.5"/>
  </r>
  <r>
    <s v="E37"/>
    <s v="FILE"/>
    <x v="0"/>
    <x v="0"/>
    <x v="0"/>
    <s v="DAE Abertura Firma JUCEPE"/>
    <d v="2020-10-21T00:00:00"/>
    <s v="Bruno"/>
    <s v="Go Kitchen"/>
    <s v="Madalena"/>
    <n v="347"/>
    <d v="2020-10-21T00:00:00"/>
    <s v="Boleto"/>
    <m/>
    <m/>
    <x v="12"/>
    <s v="Pago"/>
    <d v="2020-10-21T00:00:00"/>
    <x v="3"/>
    <n v="347"/>
    <n v="0"/>
    <n v="347"/>
  </r>
  <r>
    <s v="E38"/>
    <s v="FILE"/>
    <x v="1"/>
    <x v="3"/>
    <x v="6"/>
    <s v="DAE Abertura Firma JUCEPE"/>
    <d v="2020-10-21T00:00:00"/>
    <s v="Bruno"/>
    <s v="JUCEPE"/>
    <s v="Madalena"/>
    <n v="347"/>
    <d v="2020-10-21T00:00:00"/>
    <s v="Boleto"/>
    <m/>
    <m/>
    <x v="12"/>
    <s v="Pago"/>
    <d v="2020-10-21T00:00:00"/>
    <x v="3"/>
    <n v="-347"/>
    <n v="0"/>
    <n v="347"/>
  </r>
  <r>
    <s v="E39"/>
    <s v="FILE"/>
    <x v="0"/>
    <x v="0"/>
    <x v="0"/>
    <s v="25% do pagamento planejado para o dia 23/10 - Obra"/>
    <d v="2020-10-28T00:00:00"/>
    <s v="Luiz Tiago"/>
    <s v="Go Kitchen"/>
    <s v="Madalena"/>
    <n v="1966"/>
    <d v="2020-10-28T00:00:00"/>
    <s v="Transferência Bancária"/>
    <m/>
    <m/>
    <x v="13"/>
    <s v="Pago"/>
    <d v="2020-10-28T00:00:00"/>
    <x v="3"/>
    <n v="1966"/>
    <n v="0"/>
    <n v="1966"/>
  </r>
  <r>
    <s v="E40"/>
    <s v="FILE"/>
    <x v="1"/>
    <x v="2"/>
    <x v="5"/>
    <s v="25% do pagamento planejado para o dia 23/10 - Obra"/>
    <d v="2020-10-28T00:00:00"/>
    <s v="Luiz Tiago"/>
    <s v="CA Reformas"/>
    <s v="Madalena"/>
    <n v="1966"/>
    <d v="2020-10-28T00:00:00"/>
    <s v="Transferência Bancária"/>
    <m/>
    <m/>
    <x v="13"/>
    <s v="Pago"/>
    <d v="2020-10-28T00:00:00"/>
    <x v="3"/>
    <n v="-1966"/>
    <n v="0"/>
    <n v="1966"/>
  </r>
  <r>
    <s v="E41"/>
    <s v="FILE"/>
    <x v="0"/>
    <x v="0"/>
    <x v="0"/>
    <s v="50% do pagamento planejado para o dia 23/10 - Obra"/>
    <d v="2020-10-28T00:00:00"/>
    <s v="Bruno"/>
    <s v="Go Kitchen"/>
    <s v="Madalena"/>
    <n v="3931.4"/>
    <d v="2020-10-28T00:00:00"/>
    <s v="Transferência Bancária"/>
    <m/>
    <m/>
    <x v="13"/>
    <s v="Pago"/>
    <d v="2020-10-28T00:00:00"/>
    <x v="3"/>
    <n v="3931.4"/>
    <n v="0"/>
    <n v="3931.4"/>
  </r>
  <r>
    <s v="E42"/>
    <s v="FILE"/>
    <x v="1"/>
    <x v="2"/>
    <x v="5"/>
    <s v="50% do pagamento planejado para o dia 23/10 - Obra"/>
    <d v="2020-10-28T00:00:00"/>
    <s v="Bruno"/>
    <s v="CA Reformas"/>
    <s v="Madalena"/>
    <n v="3931.4"/>
    <d v="2020-10-28T00:00:00"/>
    <s v="Transferência Bancária"/>
    <m/>
    <m/>
    <x v="13"/>
    <s v="Pago"/>
    <d v="2020-10-28T00:00:00"/>
    <x v="3"/>
    <n v="-3931.4"/>
    <n v="0"/>
    <n v="3931.4"/>
  </r>
  <r>
    <s v="E43"/>
    <s v="FILE"/>
    <x v="0"/>
    <x v="0"/>
    <x v="0"/>
    <s v="25% do pagamento planejado para o dia 23/10 - Obra"/>
    <d v="2020-10-29T00:00:00"/>
    <s v="Matheus"/>
    <s v="Go Kitchen"/>
    <s v="Madalena"/>
    <n v="1966"/>
    <d v="2020-10-29T00:00:00"/>
    <s v="Transferência Bancária"/>
    <m/>
    <m/>
    <x v="14"/>
    <s v="Pago"/>
    <d v="2020-10-29T00:00:00"/>
    <x v="3"/>
    <n v="1966"/>
    <n v="0"/>
    <n v="1966"/>
  </r>
  <r>
    <s v="E44"/>
    <s v="FILE"/>
    <x v="1"/>
    <x v="2"/>
    <x v="3"/>
    <s v="25% do pagamento planejado para o dia 23/10 - Obra"/>
    <d v="2020-10-29T00:00:00"/>
    <s v="Matheus"/>
    <s v="CA Reformas"/>
    <s v="Madalena"/>
    <n v="1966"/>
    <d v="2020-10-29T00:00:00"/>
    <s v="Transferência Bancária"/>
    <m/>
    <m/>
    <x v="14"/>
    <s v="Pago"/>
    <d v="2020-10-29T00:00:00"/>
    <x v="3"/>
    <n v="-1966"/>
    <n v="0"/>
    <n v="1966"/>
  </r>
  <r>
    <s v="E45"/>
    <s v="FILE"/>
    <x v="1"/>
    <x v="1"/>
    <x v="1"/>
    <s v="30% do serviço de Licenciamento da Obra"/>
    <d v="2020-10-31T00:00:00"/>
    <s v="Go Kitchen"/>
    <s v="Recife Licenciamentos"/>
    <s v="Madalena"/>
    <n v="1250"/>
    <d v="2020-12-20T00:00:00"/>
    <s v="Transferência Bancária"/>
    <m/>
    <m/>
    <x v="15"/>
    <s v="Pago"/>
    <d v="2020-12-21T00:00:00"/>
    <x v="4"/>
    <n v="-1250"/>
    <n v="0"/>
    <n v="1250"/>
  </r>
  <r>
    <s v="E46"/>
    <s v="FILE"/>
    <x v="1"/>
    <x v="1"/>
    <x v="1"/>
    <s v="30% do serviço de Licenciamento da Obra"/>
    <d v="2020-10-31T00:00:00"/>
    <s v="Go Kitchen"/>
    <s v="Recife Licenciamentos"/>
    <s v="Madalena"/>
    <n v="1250"/>
    <d v="2020-11-30T00:00:00"/>
    <s v="Transferência Bancária"/>
    <m/>
    <m/>
    <x v="16"/>
    <s v="Pago"/>
    <d v="2020-11-30T00:00:00"/>
    <x v="5"/>
    <n v="-1250"/>
    <n v="0"/>
    <n v="1250"/>
  </r>
  <r>
    <s v="E47"/>
    <s v="FILE"/>
    <x v="0"/>
    <x v="0"/>
    <x v="0"/>
    <s v="40% do serviço de Licenciamento da Obra"/>
    <d v="2020-10-31T00:00:00"/>
    <s v="Luiz Tiago"/>
    <s v="Go Kitchen"/>
    <s v="Madalena"/>
    <n v="1700"/>
    <d v="2020-10-31T00:00:00"/>
    <s v="Transferência Bancária"/>
    <m/>
    <m/>
    <x v="17"/>
    <s v="Pago"/>
    <d v="2020-11-03T00:00:00"/>
    <x v="3"/>
    <n v="1700"/>
    <n v="0"/>
    <n v="1700"/>
  </r>
  <r>
    <s v="E48"/>
    <s v="FILE"/>
    <x v="1"/>
    <x v="1"/>
    <x v="1"/>
    <s v="40% do serviço de Licenciamento da Obra"/>
    <d v="2020-10-31T00:00:00"/>
    <s v="Luiz Tiago"/>
    <s v="Recife Licenciamentos"/>
    <s v="Madalena"/>
    <n v="1700"/>
    <d v="2020-10-31T00:00:00"/>
    <s v="Transferência Bancária"/>
    <m/>
    <m/>
    <x v="17"/>
    <s v="Pago"/>
    <d v="2020-11-03T00:00:00"/>
    <x v="3"/>
    <n v="-1700"/>
    <n v="0"/>
    <n v="1700"/>
  </r>
  <r>
    <s v="E49"/>
    <s v="FILE"/>
    <x v="0"/>
    <x v="0"/>
    <x v="0"/>
    <s v="25% do pagamento planejado para o dia 30/10 - Obra"/>
    <d v="2020-11-04T00:00:00"/>
    <s v="Matheus"/>
    <s v="Go Kitchen"/>
    <s v="Madalena"/>
    <n v="1614"/>
    <d v="2020-11-04T00:00:00"/>
    <s v="Transferência Bancária"/>
    <m/>
    <m/>
    <x v="18"/>
    <s v="Pago"/>
    <d v="2020-11-04T00:00:00"/>
    <x v="5"/>
    <n v="1614"/>
    <n v="0"/>
    <n v="1614"/>
  </r>
  <r>
    <s v="E50"/>
    <s v="FILE"/>
    <x v="0"/>
    <x v="0"/>
    <x v="0"/>
    <s v="25% do pagamento planejado para o dia 30/10 - Obra"/>
    <d v="2020-11-04T00:00:00"/>
    <s v="Luiz Tiago"/>
    <s v="Go Kitchen"/>
    <s v="Madalena"/>
    <n v="1614"/>
    <d v="2020-11-04T00:00:00"/>
    <s v="Transferência Bancária"/>
    <m/>
    <m/>
    <x v="18"/>
    <s v="Pago"/>
    <d v="2020-11-04T00:00:00"/>
    <x v="5"/>
    <n v="1614"/>
    <n v="0"/>
    <n v="1614"/>
  </r>
  <r>
    <s v="E51"/>
    <s v="FILE"/>
    <x v="1"/>
    <x v="2"/>
    <x v="3"/>
    <s v="25% do pagamento planejado para o dia 30/10 - Obra"/>
    <d v="2020-11-04T00:00:00"/>
    <s v="Matheus"/>
    <s v="CA Reformas"/>
    <s v="Madalena"/>
    <n v="1614"/>
    <d v="2020-11-04T00:00:00"/>
    <s v="Transferência Bancária"/>
    <m/>
    <m/>
    <x v="18"/>
    <s v="Pago"/>
    <d v="2020-11-04T00:00:00"/>
    <x v="5"/>
    <n v="-1614"/>
    <n v="0"/>
    <n v="1614"/>
  </r>
  <r>
    <s v="E52"/>
    <s v="FILE"/>
    <x v="1"/>
    <x v="2"/>
    <x v="3"/>
    <s v="25% do pagamento planejado para o dia 30/10 - Obra"/>
    <d v="2020-11-04T00:00:00"/>
    <s v="Luiz Tiago"/>
    <s v="CA Reformas"/>
    <s v="Madalena"/>
    <n v="1614"/>
    <d v="2020-11-04T00:00:00"/>
    <s v="Transferência Bancária"/>
    <m/>
    <m/>
    <x v="18"/>
    <s v="Pago"/>
    <d v="2020-11-04T00:00:00"/>
    <x v="5"/>
    <n v="-1614"/>
    <n v="0"/>
    <n v="1614"/>
  </r>
  <r>
    <s v="E53"/>
    <s v="FILE"/>
    <x v="1"/>
    <x v="2"/>
    <x v="3"/>
    <s v="50% do Adendo ao Projeto"/>
    <d v="2020-11-04T00:00:00"/>
    <s v="Bruno"/>
    <s v="Alessandra Moura"/>
    <s v="Madalena"/>
    <n v="200"/>
    <d v="2020-12-03T00:00:00"/>
    <s v="Transferência Bancária"/>
    <m/>
    <m/>
    <x v="19"/>
    <s v="Pago"/>
    <d v="2020-12-03T00:00:00"/>
    <x v="4"/>
    <n v="-200"/>
    <n v="0"/>
    <n v="200"/>
  </r>
  <r>
    <s v="E54"/>
    <s v="FILE"/>
    <x v="1"/>
    <x v="2"/>
    <x v="3"/>
    <s v="50% do Adendo ao Projeto"/>
    <d v="2020-11-04T00:00:00"/>
    <s v="Bruno"/>
    <s v="Alessandra Moura"/>
    <s v="Madalena"/>
    <n v="200"/>
    <d v="2020-11-06T00:00:00"/>
    <s v="Transferência Bancária"/>
    <m/>
    <m/>
    <x v="20"/>
    <s v="Pago"/>
    <d v="2020-11-06T00:00:00"/>
    <x v="5"/>
    <n v="-200"/>
    <n v="0"/>
    <n v="200"/>
  </r>
  <r>
    <s v="E55"/>
    <s v="FILE"/>
    <x v="0"/>
    <x v="0"/>
    <x v="0"/>
    <s v="50% do pagamento planejado para o dia 30/10 - Obra"/>
    <d v="2020-11-04T00:00:00"/>
    <s v="Bruno"/>
    <s v="Go Kitchen"/>
    <s v="Madalena"/>
    <n v="3228"/>
    <d v="2020-11-04T00:00:00"/>
    <s v="Transferência Bancária"/>
    <m/>
    <m/>
    <x v="18"/>
    <s v="Pago"/>
    <d v="2020-11-04T00:00:00"/>
    <x v="5"/>
    <n v="3228"/>
    <n v="0"/>
    <n v="3228"/>
  </r>
  <r>
    <s v="E56"/>
    <s v="FILE"/>
    <x v="1"/>
    <x v="2"/>
    <x v="3"/>
    <s v="50% do pagamento planejado para o dia 30/10 - Obra"/>
    <d v="2020-11-04T00:00:00"/>
    <s v="Bruno"/>
    <s v="CA Reformas"/>
    <s v="Madalena"/>
    <n v="3228"/>
    <d v="2020-11-04T00:00:00"/>
    <s v="Transferência Bancária"/>
    <m/>
    <m/>
    <x v="18"/>
    <s v="Pago"/>
    <d v="2020-11-04T00:00:00"/>
    <x v="5"/>
    <n v="-3228"/>
    <n v="0"/>
    <n v="3228"/>
  </r>
  <r>
    <s v="E57"/>
    <s v="FILE"/>
    <x v="1"/>
    <x v="1"/>
    <x v="1"/>
    <s v="50% do Serviço de Projeto de Licenciamento de Obras"/>
    <d v="2020-11-04T00:00:00"/>
    <s v="Go Kitchen"/>
    <s v="Recife Licenciamentos"/>
    <s v="Madalena"/>
    <n v="1900"/>
    <d v="2020-12-05T00:00:00"/>
    <s v="Transferência Bancária"/>
    <m/>
    <m/>
    <x v="21"/>
    <s v="Pago"/>
    <d v="2020-12-07T00:00:00"/>
    <x v="4"/>
    <n v="-1900"/>
    <n v="0"/>
    <n v="1900"/>
  </r>
  <r>
    <s v="E58"/>
    <s v="FILE"/>
    <x v="1"/>
    <x v="1"/>
    <x v="1"/>
    <s v="50% do Serviço de Projeto de Licenciamento de Obras"/>
    <d v="2020-11-04T00:00:00"/>
    <s v="Bruno"/>
    <s v="Recife Licenciamentos"/>
    <s v="Madalena"/>
    <n v="1900"/>
    <d v="2020-11-05T00:00:00"/>
    <s v="Transferência Bancária"/>
    <m/>
    <m/>
    <x v="22"/>
    <s v="Pago"/>
    <d v="2020-11-05T00:00:00"/>
    <x v="5"/>
    <n v="-1900"/>
    <n v="0"/>
    <n v="1900"/>
  </r>
  <r>
    <s v="E59"/>
    <s v="FILE"/>
    <x v="1"/>
    <x v="2"/>
    <x v="3"/>
    <s v="Arquiteta Quitação 50% Projeto"/>
    <d v="2020-11-04T00:00:00"/>
    <s v="Bruno"/>
    <s v="Alessandra Moura"/>
    <s v="Madalena"/>
    <n v="1300"/>
    <d v="2020-12-03T00:00:00"/>
    <s v="Transferência Bancária"/>
    <m/>
    <m/>
    <x v="19"/>
    <s v="Pago"/>
    <d v="2020-12-03T00:00:00"/>
    <x v="4"/>
    <n v="-1300"/>
    <n v="0"/>
    <n v="1300"/>
  </r>
  <r>
    <s v="E60"/>
    <s v="FILE"/>
    <x v="0"/>
    <x v="0"/>
    <x v="0"/>
    <s v="Conta de água 10.2020 - Valor pago dentro do debito de 11.2016 a 10.2020 considerou-se a tarifa minima (R$100)"/>
    <d v="2020-11-04T00:00:00"/>
    <s v="Bruno"/>
    <s v="Go Kitchen"/>
    <s v="Madalena"/>
    <n v="100"/>
    <d v="2020-11-04T00:00:00"/>
    <s v="Boleto"/>
    <m/>
    <m/>
    <x v="18"/>
    <s v="Pago"/>
    <d v="2020-11-04T00:00:00"/>
    <x v="5"/>
    <n v="100"/>
    <n v="0"/>
    <n v="100"/>
  </r>
  <r>
    <s v="E61"/>
    <s v="FILE"/>
    <x v="1"/>
    <x v="4"/>
    <x v="7"/>
    <s v="Conta de água 10.2020 - Valor pago dentro do debito de 11.2016 a 10.2020 considerou-se a tarifa minima (R$100)"/>
    <d v="2020-11-04T00:00:00"/>
    <s v="Bruno"/>
    <s v="COMPESA"/>
    <s v="Madalena"/>
    <n v="100"/>
    <d v="2020-11-04T00:00:00"/>
    <s v="Boleto"/>
    <m/>
    <m/>
    <x v="18"/>
    <s v="Pago"/>
    <d v="2020-11-04T00:00:00"/>
    <x v="5"/>
    <n v="-100"/>
    <n v="0"/>
    <n v="100"/>
  </r>
  <r>
    <s v="E62"/>
    <s v="FILE"/>
    <x v="0"/>
    <x v="0"/>
    <x v="0"/>
    <s v="Conta de água 9.2020 - Valor pago dentro do debito de 11.2016 a 10.2020 considerou-se a tarifa minima (R$100)"/>
    <d v="2020-11-04T00:00:00"/>
    <s v="Bruno"/>
    <s v="Go Kitchen"/>
    <s v="Madalena"/>
    <n v="100"/>
    <d v="2020-11-04T00:00:00"/>
    <s v="Boleto"/>
    <m/>
    <m/>
    <x v="18"/>
    <s v="Pago"/>
    <d v="2020-11-04T00:00:00"/>
    <x v="5"/>
    <n v="100"/>
    <n v="0"/>
    <n v="100"/>
  </r>
  <r>
    <s v="E63"/>
    <s v="FILE"/>
    <x v="1"/>
    <x v="4"/>
    <x v="7"/>
    <s v="Conta de água 9.2020 - Valor pago dentro do debito de 11.2016 a 10.2020 considerou-se a tarifa minima (R$100)"/>
    <d v="2020-11-04T00:00:00"/>
    <s v="Bruno"/>
    <s v="COMPESA"/>
    <s v="Madalena"/>
    <n v="100"/>
    <d v="2020-11-04T00:00:00"/>
    <s v="Boleto"/>
    <m/>
    <m/>
    <x v="18"/>
    <s v="Pago"/>
    <d v="2020-11-04T00:00:00"/>
    <x v="5"/>
    <n v="-100"/>
    <n v="0"/>
    <n v="100"/>
  </r>
  <r>
    <s v="E64"/>
    <s v="FILE"/>
    <x v="0"/>
    <x v="0"/>
    <x v="0"/>
    <s v="R$100 do Boleto Teste CORA"/>
    <d v="2020-11-04T00:00:00"/>
    <s v="Luiz Tiago"/>
    <s v="Go Kitchen"/>
    <s v="Madalena"/>
    <n v="100"/>
    <d v="2020-11-05T00:00:00"/>
    <s v="Boleto"/>
    <m/>
    <m/>
    <x v="22"/>
    <s v="Pago"/>
    <d v="2020-11-05T00:00:00"/>
    <x v="5"/>
    <n v="100"/>
    <n v="0"/>
    <n v="100"/>
  </r>
  <r>
    <s v="E65"/>
    <s v="FILE"/>
    <x v="0"/>
    <x v="0"/>
    <x v="0"/>
    <s v="2 caixas de água 1000 Litros"/>
    <d v="2020-11-05T00:00:00"/>
    <s v="Bruno"/>
    <s v="Go Kitchen"/>
    <s v="Madalena"/>
    <n v="820"/>
    <d v="2020-11-05T00:00:00"/>
    <s v="Crédito"/>
    <m/>
    <m/>
    <x v="22"/>
    <s v="Pago"/>
    <d v="2020-11-05T00:00:00"/>
    <x v="5"/>
    <n v="820"/>
    <n v="0"/>
    <n v="820"/>
  </r>
  <r>
    <s v="E66"/>
    <s v="FILE"/>
    <x v="1"/>
    <x v="2"/>
    <x v="5"/>
    <s v="2 caixas de água 1000 Litros"/>
    <d v="2020-11-05T00:00:00"/>
    <s v="Bruno"/>
    <s v="Comercial VEGA"/>
    <s v="Madalena"/>
    <n v="820"/>
    <d v="2020-11-05T00:00:00"/>
    <s v="Crédito"/>
    <m/>
    <m/>
    <x v="22"/>
    <s v="Pago"/>
    <d v="2020-11-05T00:00:00"/>
    <x v="5"/>
    <n v="-820"/>
    <n v="0"/>
    <n v="820"/>
  </r>
  <r>
    <s v="E67"/>
    <s v="FILE"/>
    <x v="0"/>
    <x v="0"/>
    <x v="0"/>
    <s v="Caminhão Pipa para suprir Falta de Água da Compesa"/>
    <d v="2020-11-05T00:00:00"/>
    <s v="Bruno"/>
    <s v="Go Kitchen"/>
    <s v="Madalena"/>
    <n v="170"/>
    <d v="2020-11-05T00:00:00"/>
    <s v="Crédito"/>
    <m/>
    <m/>
    <x v="22"/>
    <s v="Pago"/>
    <d v="2020-11-05T00:00:00"/>
    <x v="5"/>
    <n v="170"/>
    <n v="0"/>
    <n v="170"/>
  </r>
  <r>
    <s v="E68"/>
    <s v="FILE"/>
    <x v="0"/>
    <x v="0"/>
    <x v="0"/>
    <s v="50% do Serviço de Projeto de Licenciamento de Obras"/>
    <d v="2020-11-05T00:00:00"/>
    <s v="Bruno"/>
    <s v="Go Kitchen"/>
    <s v="Madalena"/>
    <n v="1900"/>
    <d v="2020-11-05T00:00:00"/>
    <s v="Transferência Bancária"/>
    <m/>
    <m/>
    <x v="22"/>
    <s v="Pago"/>
    <d v="2020-11-05T00:00:00"/>
    <x v="5"/>
    <n v="1900"/>
    <n v="0"/>
    <n v="1900"/>
  </r>
  <r>
    <s v="E69"/>
    <s v="FILE"/>
    <x v="1"/>
    <x v="5"/>
    <x v="8"/>
    <s v="Arquiteta aditivo e pagamento do engenheiro para o licenciamento, valor foi pago integralmente por Bruno (R$2100) que faz  um reembolso com esse aporte"/>
    <d v="2020-11-05T00:00:00"/>
    <s v="Matheus"/>
    <s v="Bruno"/>
    <s v="Madalena"/>
    <n v="525"/>
    <d v="2020-11-05T00:00:00"/>
    <s v="Transferência Bancária"/>
    <m/>
    <m/>
    <x v="22"/>
    <s v="Pago"/>
    <d v="2020-11-05T00:00:00"/>
    <x v="5"/>
    <n v="-525"/>
    <n v="0"/>
    <n v="525"/>
  </r>
  <r>
    <s v="E70"/>
    <s v="FILE"/>
    <x v="0"/>
    <x v="0"/>
    <x v="0"/>
    <s v="Arquiteta aditivo e pagamento do engenheiro para o licenciamento, valor foi pago integralmente por Bruno (R$2100) que faz  um reembolso com esse aporte, o comprovante de R$642,51 possui outro valor de ordem pessoal de Luiz Tiago para Bruno"/>
    <d v="2020-11-05T00:00:00"/>
    <s v="Luiz Tiago"/>
    <s v="Go Kitchen"/>
    <s v="Madalena"/>
    <n v="525"/>
    <d v="2020-11-05T00:00:00"/>
    <s v="Transferência Bancária"/>
    <m/>
    <m/>
    <x v="22"/>
    <s v="Pago"/>
    <d v="2020-11-05T00:00:00"/>
    <x v="5"/>
    <n v="525"/>
    <n v="0"/>
    <n v="525"/>
  </r>
  <r>
    <s v="E71"/>
    <s v="FILE"/>
    <x v="1"/>
    <x v="5"/>
    <x v="8"/>
    <s v="Arquiteta aditivo e pagamento do engenheiro para o licenciamento, valor foi pago integralmente por Bruno (R$2100) que faz  um reembolso com esse aporte, o comprovante de R$642,51 possui outro valor de ordem pessoal de Luiz Tiago para Bruno"/>
    <d v="2020-11-05T00:00:00"/>
    <s v="Luiz Tiago"/>
    <s v="Bruno"/>
    <s v="Madalena"/>
    <n v="525"/>
    <d v="2020-11-05T00:00:00"/>
    <s v="Transferência Bancária"/>
    <m/>
    <m/>
    <x v="22"/>
    <s v="Pago"/>
    <d v="2020-11-05T00:00:00"/>
    <x v="5"/>
    <n v="-525"/>
    <n v="0"/>
    <n v="525"/>
  </r>
  <r>
    <s v="E72"/>
    <s v="FILE"/>
    <x v="1"/>
    <x v="4"/>
    <x v="7"/>
    <s v="Caminhão Pipa para suprir Falta de Água da Compesa"/>
    <d v="2020-11-05T00:00:00"/>
    <s v="Bruno"/>
    <s v="Planeta Água Express"/>
    <s v="Madalena"/>
    <n v="170"/>
    <d v="2020-11-05T00:00:00"/>
    <s v="Crédito"/>
    <m/>
    <m/>
    <x v="22"/>
    <s v="Pago"/>
    <d v="2020-11-05T00:00:00"/>
    <x v="5"/>
    <n v="-170"/>
    <n v="0"/>
    <n v="170"/>
  </r>
  <r>
    <s v="E73"/>
    <s v="FILE"/>
    <x v="0"/>
    <x v="0"/>
    <x v="0"/>
    <s v="IPTU 10.2020"/>
    <d v="2020-11-05T00:00:00"/>
    <s v="Bruno"/>
    <s v="Go Kitchen"/>
    <s v="Madalena"/>
    <n v="939.21"/>
    <d v="2020-11-05T00:00:00"/>
    <s v="Boleto"/>
    <m/>
    <m/>
    <x v="22"/>
    <s v="Pago"/>
    <d v="2020-11-05T00:00:00"/>
    <x v="5"/>
    <n v="939.21"/>
    <n v="0"/>
    <n v="939.21"/>
  </r>
  <r>
    <s v="E74"/>
    <s v="FILE"/>
    <x v="1"/>
    <x v="3"/>
    <x v="4"/>
    <s v="IPTU 10.2020"/>
    <d v="2020-11-05T00:00:00"/>
    <s v="Bruno"/>
    <s v="Prefeitura do Recife"/>
    <s v="Madalena"/>
    <n v="939.21"/>
    <d v="2020-11-05T00:00:00"/>
    <s v="Boleto"/>
    <m/>
    <m/>
    <x v="22"/>
    <s v="Pago"/>
    <d v="2020-11-05T00:00:00"/>
    <x v="5"/>
    <n v="-939.21"/>
    <n v="0"/>
    <n v="939.21"/>
  </r>
  <r>
    <s v="E75"/>
    <s v="FILE"/>
    <x v="0"/>
    <x v="0"/>
    <x v="0"/>
    <s v="Arquiteta aditivo e pagamento do engenheiro para o licenciamento, valor foi pago integralmente por Bruno (R$2100) que faz  um reembolso com esse aporte"/>
    <d v="2020-11-06T00:00:00"/>
    <s v="Matheus"/>
    <s v="Go Kitchen"/>
    <s v="Madalena"/>
    <n v="525"/>
    <d v="2020-11-06T00:00:00"/>
    <s v="Transferência Bancária"/>
    <m/>
    <m/>
    <x v="23"/>
    <s v="Pago"/>
    <d v="2020-11-06T00:00:00"/>
    <x v="5"/>
    <n v="525"/>
    <n v="0"/>
    <n v="525"/>
  </r>
  <r>
    <s v="E76"/>
    <s v="FILE"/>
    <x v="0"/>
    <x v="0"/>
    <x v="0"/>
    <s v="50% do Adendo ao Projeto"/>
    <d v="2020-11-07T00:00:00"/>
    <s v="Bruno"/>
    <s v="Go Kitchen"/>
    <s v="Madalena"/>
    <n v="200"/>
    <d v="2020-11-07T00:00:00"/>
    <s v="Transferência Bancária"/>
    <m/>
    <m/>
    <x v="20"/>
    <s v="Pago"/>
    <d v="2020-11-09T00:00:00"/>
    <x v="5"/>
    <n v="200"/>
    <n v="0"/>
    <n v="200"/>
  </r>
  <r>
    <s v="E77"/>
    <s v="FILE"/>
    <x v="0"/>
    <x v="0"/>
    <x v="0"/>
    <s v="ART do CREA para legalização da OBRA"/>
    <d v="2020-11-09T00:00:00"/>
    <s v="Bruno"/>
    <s v="Go Kitchen"/>
    <s v="Madalena"/>
    <n v="88.78"/>
    <d v="2020-11-09T00:00:00"/>
    <s v="Boleto"/>
    <m/>
    <m/>
    <x v="24"/>
    <s v="Pago"/>
    <d v="2020-11-09T00:00:00"/>
    <x v="5"/>
    <n v="88.78"/>
    <n v="0"/>
    <n v="88.78"/>
  </r>
  <r>
    <s v="E78"/>
    <s v="FILE"/>
    <x v="1"/>
    <x v="1"/>
    <x v="1"/>
    <s v="ART do CREA para legalização da OBRA"/>
    <d v="2020-11-09T00:00:00"/>
    <s v="Bruno"/>
    <s v="CREA"/>
    <s v="Madalena"/>
    <n v="88.78"/>
    <d v="2020-11-09T00:00:00"/>
    <s v="Boleto"/>
    <m/>
    <m/>
    <x v="24"/>
    <s v="Pago"/>
    <d v="2020-11-09T00:00:00"/>
    <x v="5"/>
    <n v="-88.78"/>
    <n v="0"/>
    <n v="88.78"/>
  </r>
  <r>
    <s v="E79"/>
    <s v="FILE"/>
    <x v="0"/>
    <x v="0"/>
    <x v="0"/>
    <s v="Material de Construção - Brita"/>
    <d v="2020-11-10T00:00:00"/>
    <s v="Bruno"/>
    <s v="Go Kitchen"/>
    <s v="Madalena"/>
    <n v="375"/>
    <d v="2020-11-10T00:00:00"/>
    <s v="Crédito"/>
    <m/>
    <m/>
    <x v="25"/>
    <s v="Pago"/>
    <d v="2020-11-10T00:00:00"/>
    <x v="5"/>
    <n v="375"/>
    <n v="0"/>
    <n v="375"/>
  </r>
  <r>
    <s v="E80"/>
    <s v="FILE"/>
    <x v="1"/>
    <x v="2"/>
    <x v="3"/>
    <s v="Material de Construção - Brita"/>
    <d v="2020-11-10T00:00:00"/>
    <s v="Bruno"/>
    <s v="Armazem São João"/>
    <s v="Madalena"/>
    <n v="375"/>
    <d v="2020-11-10T00:00:00"/>
    <s v="Crédito"/>
    <m/>
    <m/>
    <x v="25"/>
    <s v="Pago"/>
    <d v="2020-11-10T00:00:00"/>
    <x v="5"/>
    <n v="-375"/>
    <n v="0"/>
    <n v="375"/>
  </r>
  <r>
    <s v="E81"/>
    <s v="FILE"/>
    <x v="0"/>
    <x v="0"/>
    <x v="0"/>
    <s v="Material de Construção - Cimento e Graut"/>
    <d v="2020-11-10T00:00:00"/>
    <s v="Bruno"/>
    <s v="Go Kitchen"/>
    <s v="Madalena"/>
    <n v="1087.2"/>
    <d v="2020-11-10T00:00:00"/>
    <s v="Crédito"/>
    <m/>
    <m/>
    <x v="25"/>
    <s v="Pago"/>
    <d v="2020-11-10T00:00:00"/>
    <x v="5"/>
    <n v="1087.2"/>
    <n v="0"/>
    <n v="1087.2"/>
  </r>
  <r>
    <s v="E82"/>
    <s v="FILE"/>
    <x v="1"/>
    <x v="2"/>
    <x v="3"/>
    <s v="Material de Construção - Cimento e Graut"/>
    <d v="2020-11-10T00:00:00"/>
    <s v="Bruno"/>
    <s v="O GUIA"/>
    <s v="Madalena"/>
    <n v="1087.2"/>
    <d v="2020-11-10T00:00:00"/>
    <s v="Crédito"/>
    <m/>
    <m/>
    <x v="25"/>
    <s v="Pago"/>
    <d v="2020-11-10T00:00:00"/>
    <x v="5"/>
    <n v="-1087.2"/>
    <n v="0"/>
    <n v="1087.2"/>
  </r>
  <r>
    <s v="E83"/>
    <s v="FILE"/>
    <x v="0"/>
    <x v="0"/>
    <x v="0"/>
    <s v="Material de Construção - Tijolos 1 Milheiro"/>
    <d v="2020-11-10T00:00:00"/>
    <s v="Bruno"/>
    <s v="Go Kitchen"/>
    <s v="Madalena"/>
    <n v="790"/>
    <d v="2020-11-10T00:00:00"/>
    <s v="Crédito"/>
    <m/>
    <m/>
    <x v="25"/>
    <s v="Pago"/>
    <d v="2020-11-10T00:00:00"/>
    <x v="5"/>
    <n v="790"/>
    <n v="0"/>
    <n v="790"/>
  </r>
  <r>
    <s v="E84"/>
    <s v="FILE"/>
    <x v="1"/>
    <x v="2"/>
    <x v="3"/>
    <s v="Material de Construção - Tijolos 1 Milheiro"/>
    <d v="2020-11-10T00:00:00"/>
    <s v="Bruno"/>
    <s v="Armazem 4 Quantos"/>
    <s v="Madalena"/>
    <n v="790"/>
    <d v="2020-11-10T00:00:00"/>
    <s v="Crédito"/>
    <m/>
    <m/>
    <x v="25"/>
    <s v="Pago"/>
    <d v="2020-11-10T00:00:00"/>
    <x v="5"/>
    <n v="-790"/>
    <n v="0"/>
    <n v="790"/>
  </r>
  <r>
    <s v="E85"/>
    <s v="FILE"/>
    <x v="0"/>
    <x v="0"/>
    <x v="0"/>
    <s v="Material de Obra - Ferragens para pilares"/>
    <d v="2020-11-10T00:00:00"/>
    <s v="Bruno"/>
    <s v="Go Kitchen"/>
    <s v="Madalena"/>
    <n v="3456"/>
    <d v="2020-11-10T00:00:00"/>
    <s v="Crédito"/>
    <m/>
    <m/>
    <x v="25"/>
    <s v="Pago"/>
    <d v="2020-11-10T00:00:00"/>
    <x v="5"/>
    <n v="3456"/>
    <n v="0"/>
    <n v="3456"/>
  </r>
  <r>
    <s v="E86"/>
    <s v="FILE"/>
    <x v="1"/>
    <x v="2"/>
    <x v="3"/>
    <s v="Material de Obra - Ferragens para pilares"/>
    <d v="2020-11-10T00:00:00"/>
    <s v="Bruno"/>
    <s v="Aurivan Ferragens"/>
    <s v="Madalena"/>
    <n v="3456"/>
    <d v="2020-11-10T00:00:00"/>
    <s v="Crédito"/>
    <m/>
    <m/>
    <x v="25"/>
    <s v="Pago"/>
    <d v="2020-11-10T00:00:00"/>
    <x v="5"/>
    <n v="-3456"/>
    <n v="0"/>
    <n v="3456"/>
  </r>
  <r>
    <s v="E87"/>
    <s v="FILE"/>
    <x v="0"/>
    <x v="0"/>
    <x v="0"/>
    <s v="Taxa para alvará de pequenas obras da prefeitura"/>
    <d v="2020-11-10T00:00:00"/>
    <s v="Bruno"/>
    <s v="Go Kitchen"/>
    <s v="Madalena"/>
    <n v="191.4"/>
    <d v="2020-11-10T00:00:00"/>
    <s v="Boleto"/>
    <m/>
    <m/>
    <x v="25"/>
    <s v="Pago"/>
    <d v="2020-11-10T00:00:00"/>
    <x v="5"/>
    <n v="191.4"/>
    <n v="0"/>
    <n v="191.4"/>
  </r>
  <r>
    <s v="E88"/>
    <s v="FILE"/>
    <x v="1"/>
    <x v="3"/>
    <x v="6"/>
    <s v="Taxa para alvará de pequenas obras da prefeitura"/>
    <d v="2020-11-10T00:00:00"/>
    <s v="Bruno"/>
    <s v="Prefeitura do Recife"/>
    <s v="Madalena"/>
    <n v="191.4"/>
    <d v="2020-11-10T00:00:00"/>
    <s v="Boleto"/>
    <m/>
    <m/>
    <x v="25"/>
    <s v="Pago"/>
    <d v="2020-11-10T00:00:00"/>
    <x v="5"/>
    <n v="-191.4"/>
    <n v="0"/>
    <n v="191.4"/>
  </r>
  <r>
    <s v="E89"/>
    <s v="FILE"/>
    <x v="0"/>
    <x v="0"/>
    <x v="0"/>
    <s v="25% do pagamento planejado para o dia 7/11 - Obra"/>
    <d v="2020-11-11T00:00:00"/>
    <s v="Matheus"/>
    <s v="Go Kitchen"/>
    <s v="Madalena"/>
    <n v="2695.45"/>
    <d v="2020-11-11T00:00:00"/>
    <s v="Transferência Bancária"/>
    <m/>
    <m/>
    <x v="26"/>
    <s v="Pago"/>
    <d v="2020-11-11T00:00:00"/>
    <x v="5"/>
    <n v="2695.45"/>
    <n v="0"/>
    <n v="2695.45"/>
  </r>
  <r>
    <s v="E90"/>
    <s v="FILE"/>
    <x v="1"/>
    <x v="2"/>
    <x v="3"/>
    <s v="25% do pagamento planejado para o dia 7/11 - Obra"/>
    <d v="2020-11-11T00:00:00"/>
    <s v="Matheus"/>
    <s v="CA Reformas"/>
    <s v="Madalena"/>
    <n v="2695.45"/>
    <d v="2020-11-11T00:00:00"/>
    <s v="Transferência Bancária"/>
    <m/>
    <m/>
    <x v="26"/>
    <s v="Pago"/>
    <d v="2020-11-11T00:00:00"/>
    <x v="5"/>
    <n v="-2695.45"/>
    <n v="0"/>
    <n v="2695.45"/>
  </r>
  <r>
    <s v="E91"/>
    <s v="FILE"/>
    <x v="0"/>
    <x v="0"/>
    <x v="0"/>
    <s v="50% do pagamento planejado para o dia 7/11 - Obra"/>
    <d v="2020-11-11T00:00:00"/>
    <s v="Bruno"/>
    <s v="Go Kitchen"/>
    <s v="Madalena"/>
    <n v="5390.9"/>
    <d v="2020-11-11T00:00:00"/>
    <s v="Transferência Bancária"/>
    <m/>
    <m/>
    <x v="26"/>
    <s v="Pago"/>
    <d v="2020-11-11T00:00:00"/>
    <x v="5"/>
    <n v="5390.9"/>
    <n v="0"/>
    <n v="5390.9"/>
  </r>
  <r>
    <s v="E92"/>
    <s v="FILE"/>
    <x v="1"/>
    <x v="2"/>
    <x v="3"/>
    <s v="50% do pagamento planejado para o dia 7/11 - Obra"/>
    <d v="2020-11-11T00:00:00"/>
    <s v="Bruno"/>
    <s v="CA Reformas"/>
    <s v="Madalena"/>
    <n v="5390.9"/>
    <d v="2020-11-11T00:00:00"/>
    <s v="Transferência Bancária"/>
    <m/>
    <m/>
    <x v="26"/>
    <s v="Pago"/>
    <d v="2020-11-11T00:00:00"/>
    <x v="5"/>
    <n v="-5390.9"/>
    <n v="0"/>
    <n v="5390.9"/>
  </r>
  <r>
    <s v="E93"/>
    <s v="FILE"/>
    <x v="0"/>
    <x v="0"/>
    <x v="0"/>
    <s v="Certificado Digital"/>
    <d v="2020-11-11T00:00:00"/>
    <s v="Matheus"/>
    <s v="Go Kitchen"/>
    <s v="Madalena"/>
    <n v="221"/>
    <d v="2020-11-11T00:00:00"/>
    <s v="Boleto"/>
    <m/>
    <m/>
    <x v="26"/>
    <s v="Pago"/>
    <d v="2020-11-11T00:00:00"/>
    <x v="5"/>
    <n v="221"/>
    <n v="0"/>
    <n v="221"/>
  </r>
  <r>
    <s v="E94"/>
    <s v="FILE"/>
    <x v="1"/>
    <x v="1"/>
    <x v="1"/>
    <s v="Certificado Digital"/>
    <d v="2020-11-11T00:00:00"/>
    <s v="Matheus"/>
    <s v="Online Certificadora"/>
    <s v="Madalena"/>
    <n v="221"/>
    <d v="2020-11-11T00:00:00"/>
    <s v="Boleto"/>
    <m/>
    <m/>
    <x v="26"/>
    <s v="Pago"/>
    <d v="2020-11-11T00:00:00"/>
    <x v="5"/>
    <n v="-221"/>
    <n v="0"/>
    <n v="221"/>
  </r>
  <r>
    <s v="E95"/>
    <s v="FILE"/>
    <x v="0"/>
    <x v="0"/>
    <x v="0"/>
    <s v="2000 Tijolos"/>
    <d v="2020-11-13T00:00:00"/>
    <s v="Bruno"/>
    <s v="Go Kitchen"/>
    <s v="Madalena"/>
    <n v="1580"/>
    <d v="2020-11-13T00:00:00"/>
    <s v="Crédito"/>
    <m/>
    <m/>
    <x v="27"/>
    <s v="Pago"/>
    <d v="2020-11-13T00:00:00"/>
    <x v="5"/>
    <n v="1580"/>
    <n v="0"/>
    <n v="1580"/>
  </r>
  <r>
    <s v="E96"/>
    <s v="FILE"/>
    <x v="1"/>
    <x v="2"/>
    <x v="5"/>
    <s v="2000 Tijolos"/>
    <d v="2020-11-13T00:00:00"/>
    <s v="Bruno"/>
    <s v="Armazem 4 Quantos"/>
    <s v="Madalena"/>
    <n v="1580"/>
    <d v="2020-11-13T00:00:00"/>
    <s v="Crédito"/>
    <m/>
    <m/>
    <x v="27"/>
    <s v="Pago"/>
    <d v="2020-11-13T00:00:00"/>
    <x v="5"/>
    <n v="-1580"/>
    <n v="0"/>
    <n v="1580"/>
  </r>
  <r>
    <s v="E97"/>
    <s v="FILE"/>
    <x v="0"/>
    <x v="0"/>
    <x v="0"/>
    <s v="25% do pagamento planejado para o dia 7/11 - Obra"/>
    <d v="2020-11-13T00:00:00"/>
    <s v="Luiz Tiago"/>
    <s v="Go Kitchen"/>
    <s v="Madalena"/>
    <n v="2695.45"/>
    <d v="2020-11-13T00:00:00"/>
    <s v="Crédito"/>
    <m/>
    <m/>
    <x v="27"/>
    <s v="Pago"/>
    <d v="2020-11-13T00:00:00"/>
    <x v="5"/>
    <n v="2695.45"/>
    <n v="0"/>
    <n v="2695.45"/>
  </r>
  <r>
    <s v="E98"/>
    <s v="FILE"/>
    <x v="1"/>
    <x v="2"/>
    <x v="5"/>
    <s v="25% do pagamento planejado para o dia 7/11 - Obra"/>
    <d v="2020-11-13T00:00:00"/>
    <s v="Luiz Tiago"/>
    <s v="CA Reformas"/>
    <s v="Madalena"/>
    <n v="2695.45"/>
    <d v="2020-11-13T00:00:00"/>
    <s v="Transferência Bancária"/>
    <m/>
    <m/>
    <x v="27"/>
    <s v="Pago"/>
    <d v="2020-11-13T00:00:00"/>
    <x v="5"/>
    <n v="-2695.45"/>
    <n v="0"/>
    <n v="2695.45"/>
  </r>
  <r>
    <s v="E99"/>
    <s v="FILE"/>
    <x v="1"/>
    <x v="2"/>
    <x v="5"/>
    <s v="Cimento Obra"/>
    <d v="2020-11-13T00:00:00"/>
    <s v="Bruno"/>
    <s v="O GUIA"/>
    <s v="Madalena"/>
    <n v="700"/>
    <d v="2020-11-13T00:00:00"/>
    <s v="Crédito"/>
    <m/>
    <m/>
    <x v="27"/>
    <s v="Pago"/>
    <d v="2020-11-13T00:00:00"/>
    <x v="5"/>
    <n v="-700"/>
    <n v="0"/>
    <n v="700"/>
  </r>
  <r>
    <s v="E100"/>
    <s v="FILE"/>
    <x v="0"/>
    <x v="0"/>
    <x v="0"/>
    <s v="Cimento Obra"/>
    <d v="2020-11-13T00:00:00"/>
    <s v="Matheus"/>
    <s v="Go Kitchen"/>
    <s v="Madalena"/>
    <n v="2604"/>
    <d v="2020-11-13T00:00:00"/>
    <s v="Crédito"/>
    <m/>
    <m/>
    <x v="27"/>
    <s v="Pago"/>
    <d v="2020-11-13T00:00:00"/>
    <x v="5"/>
    <n v="2604"/>
    <n v="0"/>
    <n v="2604"/>
  </r>
  <r>
    <s v="E101"/>
    <s v="FILE"/>
    <x v="0"/>
    <x v="0"/>
    <x v="0"/>
    <s v="Cimento Obra"/>
    <d v="2020-11-13T00:00:00"/>
    <s v="Bruno"/>
    <s v="Go Kitchen"/>
    <s v="Madalena"/>
    <n v="700"/>
    <d v="2020-11-13T00:00:00"/>
    <s v="Crédito"/>
    <m/>
    <m/>
    <x v="27"/>
    <s v="Pago"/>
    <d v="2020-11-13T00:00:00"/>
    <x v="5"/>
    <n v="700"/>
    <n v="0"/>
    <n v="700"/>
  </r>
  <r>
    <s v="E102"/>
    <s v="FILE"/>
    <x v="1"/>
    <x v="2"/>
    <x v="5"/>
    <s v="Cimento Obra"/>
    <d v="2020-11-13T00:00:00"/>
    <s v="Matheus"/>
    <s v="O GUIA"/>
    <s v="Madalena"/>
    <n v="2604"/>
    <d v="2020-11-13T00:00:00"/>
    <s v="Crédito"/>
    <m/>
    <m/>
    <x v="27"/>
    <s v="Pago"/>
    <d v="2020-11-13T00:00:00"/>
    <x v="5"/>
    <n v="-2604"/>
    <n v="0"/>
    <n v="2604"/>
  </r>
  <r>
    <s v="E103"/>
    <s v="FILE"/>
    <x v="0"/>
    <x v="0"/>
    <x v="0"/>
    <s v="Ferragens para Caixa Dágua"/>
    <d v="2020-11-13T00:00:00"/>
    <s v="Matheus"/>
    <s v="Go Kitchen"/>
    <s v="Madalena"/>
    <n v="1300"/>
    <d v="2020-11-13T00:00:00"/>
    <s v="Crédito"/>
    <m/>
    <m/>
    <x v="27"/>
    <s v="Pago"/>
    <d v="2020-11-13T00:00:00"/>
    <x v="5"/>
    <n v="1300"/>
    <n v="0"/>
    <n v="1300"/>
  </r>
  <r>
    <s v="E104"/>
    <s v="FILE"/>
    <x v="1"/>
    <x v="2"/>
    <x v="5"/>
    <s v="Ferragens para Caixa Dágua"/>
    <d v="2020-11-13T00:00:00"/>
    <s v="Matheus"/>
    <s v="Aurivan Ferragens"/>
    <s v="Madalena"/>
    <n v="1300"/>
    <d v="2020-11-13T00:00:00"/>
    <s v="Crédito"/>
    <m/>
    <m/>
    <x v="27"/>
    <s v="Pago"/>
    <d v="2020-11-13T00:00:00"/>
    <x v="5"/>
    <n v="-1300"/>
    <n v="0"/>
    <n v="1300"/>
  </r>
  <r>
    <s v="E105"/>
    <s v="FILE"/>
    <x v="2"/>
    <x v="6"/>
    <x v="9"/>
    <s v="R$1.000 da taxa de Mobilização para a Nokko Sushi de Saulo. Falta R$2000 para quitar a reserva"/>
    <d v="2020-11-17T00:00:00"/>
    <s v="U1C5"/>
    <s v="Go Kitchen"/>
    <s v="Madalena"/>
    <n v="1000"/>
    <d v="2020-11-17T00:00:00"/>
    <s v="Transferência Bancária"/>
    <m/>
    <m/>
    <x v="28"/>
    <s v="Pago"/>
    <d v="2020-11-17T00:00:00"/>
    <x v="5"/>
    <n v="1000"/>
    <n v="0"/>
    <n v="1000"/>
  </r>
  <r>
    <s v="E106"/>
    <s v="FILE"/>
    <x v="0"/>
    <x v="0"/>
    <x v="0"/>
    <s v="25% do pagamento planejado para o dia 13/11 - Obra"/>
    <d v="2020-11-19T00:00:00"/>
    <s v="Matheus"/>
    <s v="Go Kitchen"/>
    <s v="Madalena"/>
    <n v="2824.25"/>
    <d v="2020-11-19T00:00:00"/>
    <s v="Transferência Bancária"/>
    <m/>
    <m/>
    <x v="29"/>
    <s v="Pago"/>
    <d v="2020-11-19T00:00:00"/>
    <x v="5"/>
    <n v="2824.25"/>
    <n v="0"/>
    <n v="2824.25"/>
  </r>
  <r>
    <s v="E107"/>
    <s v="FILE"/>
    <x v="1"/>
    <x v="2"/>
    <x v="3"/>
    <s v="25% do pagamento planejado para o dia 13/11 - Obra"/>
    <d v="2020-11-19T00:00:00"/>
    <s v="Matheus"/>
    <s v="CA Reformas"/>
    <s v="Madalena"/>
    <n v="2824.25"/>
    <d v="2020-11-19T00:00:00"/>
    <s v="Transferência Bancária"/>
    <m/>
    <m/>
    <x v="29"/>
    <s v="Pago"/>
    <d v="2020-11-19T00:00:00"/>
    <x v="5"/>
    <n v="-2824.25"/>
    <n v="0"/>
    <n v="2824.25"/>
  </r>
  <r>
    <s v="E108"/>
    <s v="FILE"/>
    <x v="0"/>
    <x v="0"/>
    <x v="0"/>
    <s v="25% do pagamento planejado para o dia 13/11 - Obra"/>
    <d v="2020-11-20T00:00:00"/>
    <s v="Luiz Tiago"/>
    <s v="Go Kitchen"/>
    <s v="Madalena"/>
    <n v="2824.25"/>
    <d v="2020-11-20T00:00:00"/>
    <s v="Transferência Bancária"/>
    <m/>
    <m/>
    <x v="30"/>
    <s v="Pago"/>
    <d v="2020-11-20T00:00:00"/>
    <x v="5"/>
    <n v="2824.25"/>
    <n v="0"/>
    <n v="2824.25"/>
  </r>
  <r>
    <s v="E109"/>
    <s v="FILE"/>
    <x v="1"/>
    <x v="2"/>
    <x v="3"/>
    <s v="25% do pagamento planejado para o dia 13/11 - Obra"/>
    <d v="2020-11-20T00:00:00"/>
    <s v="Luiz Tiago"/>
    <s v="CA Reformas"/>
    <s v="Madalena"/>
    <n v="2824.25"/>
    <d v="2020-11-20T00:00:00"/>
    <s v="Transferência Bancária"/>
    <m/>
    <m/>
    <x v="30"/>
    <s v="Pago"/>
    <d v="2020-11-20T00:00:00"/>
    <x v="5"/>
    <n v="-2824.25"/>
    <n v="0"/>
    <n v="2824.25"/>
  </r>
  <r>
    <s v="E110"/>
    <s v="FILE"/>
    <x v="0"/>
    <x v="0"/>
    <x v="0"/>
    <s v="50% do pagamento planejado para o dia 13/11 - Obra"/>
    <d v="2020-11-20T00:00:00"/>
    <s v="Bruno"/>
    <s v="Go Kitchen"/>
    <s v="Madalena"/>
    <n v="5648.5"/>
    <d v="2020-11-20T00:00:00"/>
    <s v="Transferência Bancária"/>
    <m/>
    <m/>
    <x v="30"/>
    <s v="Pago"/>
    <d v="2020-11-20T00:00:00"/>
    <x v="5"/>
    <n v="5648.5"/>
    <n v="0"/>
    <n v="5648.5"/>
  </r>
  <r>
    <s v="E111"/>
    <s v="FILE"/>
    <x v="1"/>
    <x v="2"/>
    <x v="3"/>
    <s v="50% do pagamento planejado para o dia 13/11 - Obra"/>
    <d v="2020-11-20T00:00:00"/>
    <s v="Bruno"/>
    <s v="CA Reformas"/>
    <s v="Madalena"/>
    <n v="5648.5"/>
    <d v="2020-11-20T00:00:00"/>
    <s v="Transferência Bancária"/>
    <m/>
    <m/>
    <x v="30"/>
    <s v="Pago"/>
    <d v="2020-11-20T00:00:00"/>
    <x v="5"/>
    <n v="-5648.5"/>
    <n v="0"/>
    <n v="5648.5"/>
  </r>
  <r>
    <s v="E112"/>
    <s v="FILE"/>
    <x v="0"/>
    <x v="0"/>
    <x v="0"/>
    <s v="25% do pagamento planejado para o dia 20/11 - Obra"/>
    <d v="2020-11-27T00:00:00"/>
    <s v="Luiz Tiago"/>
    <s v="Go Kitchen"/>
    <s v="Madalena"/>
    <n v="1763.06"/>
    <d v="2020-11-27T00:00:00"/>
    <s v="Transferência Bancária"/>
    <m/>
    <m/>
    <x v="31"/>
    <s v="Pago"/>
    <d v="2020-11-27T00:00:00"/>
    <x v="5"/>
    <n v="1763.06"/>
    <n v="0"/>
    <n v="1763.06"/>
  </r>
  <r>
    <s v="E113"/>
    <s v="FILE"/>
    <x v="0"/>
    <x v="0"/>
    <x v="0"/>
    <s v="25% do pagamento planejado para o dia 20/11 - Obra"/>
    <d v="2020-11-27T00:00:00"/>
    <s v="Matheus"/>
    <s v="Go Kitchen"/>
    <s v="Madalena"/>
    <n v="1763.06"/>
    <d v="2020-11-27T00:00:00"/>
    <s v="Transferência Bancária"/>
    <m/>
    <m/>
    <x v="31"/>
    <s v="Pago"/>
    <d v="2020-11-27T00:00:00"/>
    <x v="5"/>
    <n v="1763.06"/>
    <n v="0"/>
    <n v="1763.06"/>
  </r>
  <r>
    <s v="E114"/>
    <s v="FILE"/>
    <x v="1"/>
    <x v="2"/>
    <x v="3"/>
    <s v="25% do pagamento planejado para o dia 20/11 - Obra"/>
    <d v="2020-11-27T00:00:00"/>
    <s v="Luiz Tiago"/>
    <s v="CA Reformas"/>
    <s v="Madalena"/>
    <n v="1763.06"/>
    <d v="2020-11-27T00:00:00"/>
    <s v="Transferência Bancária"/>
    <m/>
    <m/>
    <x v="31"/>
    <s v="Pago"/>
    <d v="2020-11-27T00:00:00"/>
    <x v="5"/>
    <n v="-1763.06"/>
    <n v="0"/>
    <n v="1763.06"/>
  </r>
  <r>
    <s v="E115"/>
    <s v="FILE"/>
    <x v="1"/>
    <x v="2"/>
    <x v="3"/>
    <s v="25% do pagamento planejado para o dia 20/11 - Obra"/>
    <d v="2020-11-27T00:00:00"/>
    <s v="Matheus"/>
    <s v="CA Reformas"/>
    <s v="Madalena"/>
    <n v="1763.06"/>
    <d v="2020-11-27T00:00:00"/>
    <s v="Transferência Bancária"/>
    <m/>
    <m/>
    <x v="31"/>
    <s v="Pago"/>
    <d v="2020-11-27T00:00:00"/>
    <x v="5"/>
    <n v="-1763.06"/>
    <n v="0"/>
    <n v="1763.06"/>
  </r>
  <r>
    <s v="E116"/>
    <s v="FILE"/>
    <x v="0"/>
    <x v="0"/>
    <x v="0"/>
    <s v="50% do pagamento planejado para o dia 20/11 - Obra"/>
    <d v="2020-11-27T00:00:00"/>
    <s v="Bruno"/>
    <s v="Go Kitchen"/>
    <s v="Madalena"/>
    <n v="3526.11"/>
    <d v="2020-11-27T00:00:00"/>
    <s v="Transferência Bancária"/>
    <m/>
    <m/>
    <x v="31"/>
    <s v="Pago"/>
    <d v="2020-11-27T00:00:00"/>
    <x v="5"/>
    <n v="3526.11"/>
    <n v="0"/>
    <n v="3526.11"/>
  </r>
  <r>
    <s v="E117"/>
    <s v="FILE"/>
    <x v="1"/>
    <x v="2"/>
    <x v="3"/>
    <s v="50% do pagamento planejado para o dia 20/11 - Obra"/>
    <d v="2020-11-27T00:00:00"/>
    <s v="Bruno"/>
    <s v="CA Reformas"/>
    <s v="Madalena"/>
    <n v="3526.11"/>
    <d v="2020-11-27T00:00:00"/>
    <s v="Transferência Bancária"/>
    <m/>
    <m/>
    <x v="31"/>
    <s v="Pago"/>
    <d v="2020-11-27T00:00:00"/>
    <x v="5"/>
    <n v="-3526.11"/>
    <n v="0"/>
    <n v="3526.11"/>
  </r>
  <r>
    <s v="E118"/>
    <s v="FILE"/>
    <x v="0"/>
    <x v="0"/>
    <x v="0"/>
    <s v="Material de Obra - Ferragens, Tijolos, Brita, Areia, Serra"/>
    <d v="2020-11-27T00:00:00"/>
    <s v="Luiz Tiago"/>
    <s v="Go Kitchen"/>
    <s v="Madalena"/>
    <n v="4832.5"/>
    <d v="2020-11-27T00:00:00"/>
    <s v="Crédito"/>
    <m/>
    <m/>
    <x v="31"/>
    <s v="Pago"/>
    <d v="2020-11-27T00:00:00"/>
    <x v="5"/>
    <n v="4832.5"/>
    <n v="0"/>
    <n v="4832.5"/>
  </r>
  <r>
    <s v="E119"/>
    <s v="FILE"/>
    <x v="1"/>
    <x v="2"/>
    <x v="5"/>
    <s v="Material de Obra - Ferragens, Tijolos, Brita, Areia, Serra"/>
    <d v="2020-11-27T00:00:00"/>
    <s v="Luiz Tiago"/>
    <s v="Armazem São João"/>
    <s v="Madalena"/>
    <n v="4832.5"/>
    <d v="2020-11-27T00:00:00"/>
    <s v="Crédito"/>
    <m/>
    <m/>
    <x v="31"/>
    <s v="Pago"/>
    <d v="2020-11-27T00:00:00"/>
    <x v="5"/>
    <n v="-4832.5"/>
    <n v="0"/>
    <n v="4832.5"/>
  </r>
  <r>
    <s v="E120"/>
    <s v="FILE"/>
    <x v="0"/>
    <x v="0"/>
    <x v="0"/>
    <s v="25% do pagamento DA 2º parcela (R$1250) para o licenciamento da obra do prado"/>
    <d v="2020-11-30T00:00:00"/>
    <s v="Luiz Tiago"/>
    <s v="Go Kitchen"/>
    <s v="Madalena"/>
    <n v="312.5"/>
    <d v="2020-11-30T00:00:00"/>
    <s v="Transferência Bancária"/>
    <m/>
    <m/>
    <x v="16"/>
    <s v="Pago"/>
    <d v="2020-11-30T00:00:00"/>
    <x v="5"/>
    <n v="312.5"/>
    <n v="0"/>
    <n v="312.5"/>
  </r>
  <r>
    <s v="E121"/>
    <s v="FILE"/>
    <x v="0"/>
    <x v="0"/>
    <x v="0"/>
    <s v="25% do pagamento DA 2º parcela (R$1250) para o licenciamento da obra do prado"/>
    <d v="2020-11-30T00:00:00"/>
    <s v="Matheus"/>
    <s v="Go Kitchen"/>
    <s v="Madalena"/>
    <n v="312.5"/>
    <d v="2020-11-30T00:00:00"/>
    <s v="Transferência Bancária"/>
    <m/>
    <m/>
    <x v="16"/>
    <s v="Pago"/>
    <d v="2020-11-30T00:00:00"/>
    <x v="5"/>
    <n v="312.5"/>
    <n v="0"/>
    <n v="312.5"/>
  </r>
  <r>
    <s v="E122"/>
    <s v="FILE"/>
    <x v="0"/>
    <x v="0"/>
    <x v="0"/>
    <s v="50% do pagamento DA 2º parcela (R$1250) para o licenciamento da obra do prado"/>
    <d v="2020-11-30T00:00:00"/>
    <s v="Bruno"/>
    <s v="Go Kitchen"/>
    <s v="Madalena"/>
    <n v="625"/>
    <d v="2020-11-30T00:00:00"/>
    <s v="Transferência Bancária"/>
    <m/>
    <m/>
    <x v="16"/>
    <s v="Pago"/>
    <d v="2020-11-30T00:00:00"/>
    <x v="5"/>
    <n v="625"/>
    <n v="0"/>
    <n v="625"/>
  </r>
  <r>
    <s v="E123"/>
    <s v="FILE"/>
    <x v="1"/>
    <x v="4"/>
    <x v="7"/>
    <s v="Conta de Água da casa do PRADO referente ao mês de Novembro de 2020"/>
    <d v="2020-11-30T00:00:00"/>
    <s v="Go Kitchen"/>
    <s v="COMPESA"/>
    <s v="Madalena"/>
    <n v="296.73"/>
    <d v="2020-12-15T00:00:00"/>
    <s v="Boleto"/>
    <m/>
    <m/>
    <x v="21"/>
    <s v="Pago"/>
    <d v="2020-12-15T00:00:00"/>
    <x v="4"/>
    <n v="-296.73"/>
    <n v="0"/>
    <n v="296.73"/>
  </r>
  <r>
    <s v="E124"/>
    <s v="FILE"/>
    <x v="1"/>
    <x v="3"/>
    <x v="6"/>
    <s v="DAE JUCEPE para 1ª alteração do contrato social por conta do CNAE que não se enquadrou no SIMPLES"/>
    <d v="2020-11-30T00:00:00"/>
    <s v="Luiz Tiago"/>
    <s v="JUCEPE"/>
    <s v="Madalena"/>
    <n v="347"/>
    <d v="2020-12-02T00:00:00"/>
    <s v="Boleto"/>
    <m/>
    <m/>
    <x v="19"/>
    <s v="Pago"/>
    <d v="2020-12-02T00:00:00"/>
    <x v="4"/>
    <n v="-347"/>
    <n v="0"/>
    <n v="347"/>
  </r>
  <r>
    <s v="E125"/>
    <s v="FILE"/>
    <x v="0"/>
    <x v="0"/>
    <x v="0"/>
    <s v="Ferragens para cinturão construção externa."/>
    <d v="2020-12-01T00:00:00"/>
    <s v="Bruno"/>
    <s v="Go Kitchen"/>
    <s v="Madalena"/>
    <n v="2033"/>
    <d v="2020-12-01T00:00:00"/>
    <s v="Crédito"/>
    <m/>
    <m/>
    <x v="32"/>
    <s v="Pago"/>
    <d v="2020-12-01T00:00:00"/>
    <x v="4"/>
    <n v="2033"/>
    <n v="0"/>
    <n v="2033"/>
  </r>
  <r>
    <s v="E126"/>
    <s v="FILE"/>
    <x v="1"/>
    <x v="2"/>
    <x v="3"/>
    <s v="Ferragens para cinturão construção externa."/>
    <d v="2020-12-01T00:00:00"/>
    <s v="Bruno"/>
    <s v="Aurivan Ferragens"/>
    <s v="Madalena"/>
    <n v="2033"/>
    <d v="2020-12-01T00:00:00"/>
    <s v="Crédito"/>
    <m/>
    <m/>
    <x v="32"/>
    <s v="Pago"/>
    <d v="2020-12-01T00:00:00"/>
    <x v="4"/>
    <n v="-2033"/>
    <n v="0"/>
    <n v="2033"/>
  </r>
  <r>
    <s v="E127"/>
    <s v="FILE"/>
    <x v="0"/>
    <x v="0"/>
    <x v="0"/>
    <s v="Areia e CAO"/>
    <d v="2020-12-02T00:00:00"/>
    <s v="Bruno"/>
    <s v="Go Kitchen"/>
    <s v="Madalena"/>
    <n v="1000"/>
    <d v="2020-12-02T00:00:00"/>
    <s v="Crédito"/>
    <m/>
    <m/>
    <x v="33"/>
    <s v="Pago"/>
    <d v="2020-12-02T00:00:00"/>
    <x v="4"/>
    <n v="1000"/>
    <n v="0"/>
    <n v="1000"/>
  </r>
  <r>
    <s v="E128"/>
    <s v="FILE"/>
    <x v="1"/>
    <x v="2"/>
    <x v="5"/>
    <s v="Areia e CAO"/>
    <d v="2020-12-02T00:00:00"/>
    <s v="Bruno"/>
    <s v="Armazem São João"/>
    <s v="Madalena"/>
    <n v="1000"/>
    <d v="2020-12-02T00:00:00"/>
    <s v="Crédito"/>
    <m/>
    <m/>
    <x v="33"/>
    <s v="Pago"/>
    <d v="2020-12-02T00:00:00"/>
    <x v="4"/>
    <n v="-1000"/>
    <n v="0"/>
    <n v="1000"/>
  </r>
  <r>
    <s v="E129"/>
    <s v="FILE"/>
    <x v="0"/>
    <x v="0"/>
    <x v="0"/>
    <s v="Cimento 50 sacos"/>
    <d v="2020-12-02T00:00:00"/>
    <s v="Luiz Tiago"/>
    <s v="Go Kitchen"/>
    <s v="Madalena"/>
    <n v="1700"/>
    <d v="2020-12-02T00:00:00"/>
    <s v="Crédito"/>
    <m/>
    <m/>
    <x v="33"/>
    <s v="Pago"/>
    <d v="2020-12-02T00:00:00"/>
    <x v="4"/>
    <n v="1700"/>
    <n v="0"/>
    <n v="1700"/>
  </r>
  <r>
    <s v="E130"/>
    <s v="FILE"/>
    <x v="1"/>
    <x v="2"/>
    <x v="5"/>
    <s v="Cimento 50 sacos"/>
    <d v="2020-12-02T00:00:00"/>
    <s v="Luiz Tiago"/>
    <s v="O GUIA"/>
    <s v="Madalena"/>
    <n v="1700"/>
    <d v="2020-12-02T00:00:00"/>
    <s v="Crédito"/>
    <m/>
    <m/>
    <x v="33"/>
    <s v="Pago"/>
    <d v="2020-12-02T00:00:00"/>
    <x v="4"/>
    <n v="-1700"/>
    <n v="0"/>
    <n v="1700"/>
  </r>
  <r>
    <s v="E131"/>
    <s v="FILE"/>
    <x v="0"/>
    <x v="0"/>
    <x v="0"/>
    <s v="Madeiras para escorar o concretamento da laje das caixas d'agua"/>
    <d v="2020-12-02T00:00:00"/>
    <s v="Bruno"/>
    <s v="Go Kitchen"/>
    <s v="Madalena"/>
    <n v="576"/>
    <d v="2020-12-02T00:00:00"/>
    <s v="Crédito"/>
    <m/>
    <m/>
    <x v="33"/>
    <s v="Pago"/>
    <d v="2020-12-02T00:00:00"/>
    <x v="4"/>
    <n v="576"/>
    <n v="0"/>
    <n v="576"/>
  </r>
  <r>
    <s v="E132"/>
    <s v="FILE"/>
    <x v="1"/>
    <x v="2"/>
    <x v="5"/>
    <s v="Madeiras para escorar o concretamento da laje das caixas d'agua"/>
    <d v="2020-12-02T00:00:00"/>
    <s v="Bruno"/>
    <s v="Madereira São judas"/>
    <s v="Madalena"/>
    <n v="576"/>
    <d v="2020-12-02T00:00:00"/>
    <s v="Crédito"/>
    <m/>
    <m/>
    <x v="33"/>
    <s v="Pago"/>
    <d v="2020-12-02T00:00:00"/>
    <x v="4"/>
    <n v="-576"/>
    <n v="0"/>
    <n v="576"/>
  </r>
  <r>
    <s v="E133"/>
    <s v="FILE"/>
    <x v="0"/>
    <x v="0"/>
    <x v="0"/>
    <s v="Pregos diversos tamanhos"/>
    <d v="2020-12-02T00:00:00"/>
    <s v="Bruno"/>
    <s v="Go Kitchen"/>
    <s v="Madalena"/>
    <n v="66"/>
    <d v="2020-12-02T00:00:00"/>
    <s v="Crédito"/>
    <m/>
    <m/>
    <x v="33"/>
    <s v="Pago"/>
    <d v="2020-12-02T00:00:00"/>
    <x v="4"/>
    <n v="66"/>
    <n v="0"/>
    <n v="66"/>
  </r>
  <r>
    <s v="E134"/>
    <s v="FILE"/>
    <x v="1"/>
    <x v="2"/>
    <x v="5"/>
    <s v="Pregos diversos tamanhos"/>
    <d v="2020-12-02T00:00:00"/>
    <s v="Bruno"/>
    <s v="Aurivan Ferragens"/>
    <s v="Madalena"/>
    <n v="66"/>
    <d v="2020-12-02T00:00:00"/>
    <s v="Crédito"/>
    <m/>
    <m/>
    <x v="33"/>
    <s v="Pago"/>
    <d v="2020-12-02T00:00:00"/>
    <x v="4"/>
    <n v="-66"/>
    <n v="0"/>
    <n v="66"/>
  </r>
  <r>
    <s v="E135"/>
    <s v="FILE"/>
    <x v="0"/>
    <x v="0"/>
    <x v="0"/>
    <s v="Vedacit - Mistura para argamassa + Joelho Esgoto TIGRE 10CM"/>
    <d v="2020-12-02T00:00:00"/>
    <s v="Luiz Tiago"/>
    <s v="Go Kitchen"/>
    <s v="Madalena"/>
    <n v="225"/>
    <d v="2020-12-02T00:00:00"/>
    <s v="Crédito"/>
    <m/>
    <m/>
    <x v="33"/>
    <s v="Pago"/>
    <d v="2020-12-02T00:00:00"/>
    <x v="4"/>
    <n v="225"/>
    <n v="0"/>
    <n v="225"/>
  </r>
  <r>
    <s v="E136"/>
    <s v="FILE"/>
    <x v="1"/>
    <x v="2"/>
    <x v="5"/>
    <s v="Vedacit - Mistura para argamassa + Joelho Esgoto TIGRE 10CM"/>
    <d v="2020-12-02T00:00:00"/>
    <s v="Luiz Tiago"/>
    <s v="Ferreira Costa"/>
    <s v="Madalena"/>
    <n v="225"/>
    <d v="2020-12-02T00:00:00"/>
    <s v="Crédito"/>
    <m/>
    <m/>
    <x v="33"/>
    <s v="Pago"/>
    <d v="2020-12-02T00:00:00"/>
    <x v="4"/>
    <n v="-225"/>
    <n v="0"/>
    <n v="225"/>
  </r>
  <r>
    <s v="E137"/>
    <s v="FILE"/>
    <x v="0"/>
    <x v="0"/>
    <x v="0"/>
    <s v="Arquiteta Quitação 50% Projeto + 50% do Adendo ao Projeto"/>
    <d v="2020-12-03T00:00:00"/>
    <s v="Bruno"/>
    <s v="Go Kitchen"/>
    <s v="Madalena"/>
    <n v="1500"/>
    <d v="2020-12-03T00:00:00"/>
    <s v="Transferência Bancária"/>
    <m/>
    <m/>
    <x v="19"/>
    <s v="Pago"/>
    <d v="2020-12-03T00:00:00"/>
    <x v="4"/>
    <n v="1500"/>
    <n v="0"/>
    <n v="1500"/>
  </r>
  <r>
    <s v="E138"/>
    <s v="FILE"/>
    <x v="0"/>
    <x v="0"/>
    <x v="0"/>
    <s v="DAE JUCEPE para 1ª alteração do contrato social por conta do CNAE que não se enquadrou no SIMPLES"/>
    <d v="2020-12-03T00:00:00"/>
    <s v="Luiz Tiago"/>
    <s v="Go Kitchen"/>
    <s v="Madalena"/>
    <n v="347"/>
    <d v="2020-12-03T00:00:00"/>
    <s v="Boleto"/>
    <m/>
    <m/>
    <x v="19"/>
    <s v="Pago"/>
    <d v="2020-12-03T00:00:00"/>
    <x v="4"/>
    <n v="347"/>
    <n v="0"/>
    <n v="347"/>
  </r>
  <r>
    <s v="E139"/>
    <s v="FILE"/>
    <x v="1"/>
    <x v="2"/>
    <x v="5"/>
    <s v="16% do pagamento planejado para o dia 27/11 - Obra"/>
    <d v="2020-12-04T00:00:00"/>
    <s v="Go Kitchen"/>
    <s v="CA Reformas"/>
    <s v="Madalena"/>
    <n v="2462.409999999998"/>
    <d v="2020-12-04T00:00:00"/>
    <s v="Transferência Bancária"/>
    <m/>
    <m/>
    <x v="34"/>
    <s v="Pago"/>
    <d v="2020-12-04T00:00:00"/>
    <x v="4"/>
    <n v="-2462.409999999998"/>
    <n v="0"/>
    <n v="2462.409999999998"/>
  </r>
  <r>
    <s v="E140"/>
    <s v="FILE"/>
    <x v="0"/>
    <x v="0"/>
    <x v="0"/>
    <s v="35% do pagamento planejado para o dia 27/11 - Obra"/>
    <d v="2020-12-04T00:00:00"/>
    <s v="Matheus"/>
    <s v="Go Kitchen"/>
    <s v="Madalena"/>
    <n v="5633.58"/>
    <d v="2020-12-04T00:00:00"/>
    <s v="Transferência Bancária"/>
    <m/>
    <m/>
    <x v="34"/>
    <s v="Pago"/>
    <d v="2020-12-04T00:00:00"/>
    <x v="4"/>
    <n v="5633.58"/>
    <n v="0"/>
    <n v="5633.58"/>
  </r>
  <r>
    <s v="E141"/>
    <s v="FILE"/>
    <x v="1"/>
    <x v="2"/>
    <x v="5"/>
    <s v="35% do pagamento planejado para o dia 27/11 - Obra"/>
    <d v="2020-12-04T00:00:00"/>
    <s v="Matheus"/>
    <s v="CA Reformas"/>
    <s v="Madalena"/>
    <n v="5633.58"/>
    <d v="2020-12-04T00:00:00"/>
    <s v="Transferência Bancária"/>
    <m/>
    <m/>
    <x v="34"/>
    <s v="Pago"/>
    <d v="2020-12-04T00:00:00"/>
    <x v="4"/>
    <n v="-5633.58"/>
    <n v="0"/>
    <n v="5633.58"/>
  </r>
  <r>
    <s v="E142"/>
    <s v="FILE"/>
    <x v="1"/>
    <x v="2"/>
    <x v="5"/>
    <s v="49% do pagamento planejado para o dia 27/11 - Obra"/>
    <d v="2020-12-04T00:00:00"/>
    <s v="Go Kitchen"/>
    <s v="CA Reformas"/>
    <s v="Madalena"/>
    <n v="7800"/>
    <d v="2020-12-04T00:00:00"/>
    <s v="Transferência Bancária"/>
    <m/>
    <m/>
    <x v="34"/>
    <s v="Pago"/>
    <d v="2020-12-04T00:00:00"/>
    <x v="4"/>
    <n v="-7800"/>
    <n v="0"/>
    <n v="7800"/>
  </r>
  <r>
    <s v="E143"/>
    <s v="FILE"/>
    <x v="0"/>
    <x v="0"/>
    <x v="0"/>
    <s v="Integralização para a Semana 27/11 + Arquiteta + Licenças na Conta Go Kitchen"/>
    <d v="2020-12-04T00:00:00"/>
    <s v="Luiz Tiago"/>
    <s v="Go Kitchen"/>
    <s v="Madalena"/>
    <n v="5719.32"/>
    <d v="2020-12-04T00:00:00"/>
    <s v="Transferência Bancária"/>
    <m/>
    <m/>
    <x v="34"/>
    <s v="Pago"/>
    <d v="2020-12-04T00:00:00"/>
    <x v="4"/>
    <n v="5719.32"/>
    <n v="0"/>
    <n v="5719.32"/>
  </r>
  <r>
    <s v="E144"/>
    <s v="FILE"/>
    <x v="0"/>
    <x v="0"/>
    <x v="0"/>
    <s v="Integralização para a Semana 27/11 + Arquiteta + Licenças na Conta Go Kitchen"/>
    <d v="2020-12-04T00:00:00"/>
    <s v="Bruno"/>
    <s v="Go Kitchen"/>
    <s v="Madalena"/>
    <n v="6739.83"/>
    <d v="2020-12-04T00:00:00"/>
    <s v="Transferência Bancária"/>
    <m/>
    <m/>
    <x v="34"/>
    <s v="Pago"/>
    <d v="2020-12-04T00:00:00"/>
    <x v="4"/>
    <n v="6739.83"/>
    <n v="0"/>
    <n v="6739.83"/>
  </r>
  <r>
    <s v="E145"/>
    <s v="FILE"/>
    <x v="0"/>
    <x v="0"/>
    <x v="0"/>
    <s v="Cimento 100 Sacos"/>
    <d v="2020-12-07T00:00:00"/>
    <s v="Luiz Tiago"/>
    <s v="Go Kitchen"/>
    <s v="Madalena"/>
    <n v="2970"/>
    <d v="2020-12-07T00:00:00"/>
    <s v="Crédito"/>
    <m/>
    <m/>
    <x v="21"/>
    <s v="Pago"/>
    <d v="2020-12-07T00:00:00"/>
    <x v="4"/>
    <n v="2970"/>
    <n v="0"/>
    <n v="2970"/>
  </r>
  <r>
    <s v="E146"/>
    <s v="FILE"/>
    <x v="1"/>
    <x v="2"/>
    <x v="5"/>
    <s v="Cimento 100 Sacos"/>
    <d v="2020-12-07T00:00:00"/>
    <s v="Luiz Tiago"/>
    <s v="AMD Distribuidora"/>
    <s v="Madalena"/>
    <n v="2970"/>
    <d v="2020-12-07T00:00:00"/>
    <s v="Crédito"/>
    <m/>
    <m/>
    <x v="21"/>
    <s v="Pago"/>
    <d v="2020-12-07T00:00:00"/>
    <x v="4"/>
    <n v="-2970"/>
    <n v="0"/>
    <n v="2970"/>
  </r>
  <r>
    <s v="E147"/>
    <s v="FILE"/>
    <x v="0"/>
    <x v="0"/>
    <x v="0"/>
    <s v="49% do pagamento dos canos para egosto"/>
    <d v="2020-12-10T00:00:00"/>
    <s v="Luiz Tiago"/>
    <s v="Go Kitchen"/>
    <s v="Madalena"/>
    <n v="2021.3"/>
    <d v="2020-12-10T00:00:00"/>
    <s v="Crédito"/>
    <m/>
    <m/>
    <x v="35"/>
    <s v="Pago"/>
    <d v="2020-12-10T00:00:00"/>
    <x v="4"/>
    <n v="2021.3"/>
    <n v="0"/>
    <n v="2021.3"/>
  </r>
  <r>
    <s v="E148"/>
    <s v="FILE"/>
    <x v="1"/>
    <x v="2"/>
    <x v="5"/>
    <s v="49% do pagamento dos canos para egosto"/>
    <d v="2020-12-10T00:00:00"/>
    <s v="Luiz Tiago"/>
    <s v="RS Hidráulica"/>
    <s v="Madalena"/>
    <n v="2021.3"/>
    <d v="2020-12-10T00:00:00"/>
    <s v="Crédito"/>
    <m/>
    <m/>
    <x v="35"/>
    <s v="Pago"/>
    <d v="2020-12-10T00:00:00"/>
    <x v="4"/>
    <n v="-2021.3"/>
    <n v="0"/>
    <n v="2021.3"/>
  </r>
  <r>
    <s v="E149"/>
    <s v="FILE"/>
    <x v="0"/>
    <x v="0"/>
    <x v="0"/>
    <s v="51% do pagamento dos canos para egosto"/>
    <d v="2020-12-10T00:00:00"/>
    <s v="Bruno"/>
    <s v="Go Kitchen"/>
    <s v="Madalena"/>
    <n v="2000"/>
    <d v="2020-12-10T00:00:00"/>
    <s v="Crédito"/>
    <m/>
    <m/>
    <x v="35"/>
    <s v="Pago"/>
    <d v="2020-12-10T00:00:00"/>
    <x v="4"/>
    <n v="2000"/>
    <n v="0"/>
    <n v="2000"/>
  </r>
  <r>
    <s v="E150"/>
    <s v="FILE"/>
    <x v="1"/>
    <x v="2"/>
    <x v="5"/>
    <s v="51% do pagamento dos canos para egosto"/>
    <d v="2020-12-10T00:00:00"/>
    <s v="Bruno"/>
    <s v="RS Hidráulica"/>
    <s v="Madalena"/>
    <n v="2000"/>
    <d v="2020-12-10T00:00:00"/>
    <s v="Crédito"/>
    <m/>
    <m/>
    <x v="35"/>
    <s v="Pago"/>
    <d v="2020-12-10T00:00:00"/>
    <x v="4"/>
    <n v="-2000"/>
    <n v="0"/>
    <n v="2000"/>
  </r>
  <r>
    <s v="E151"/>
    <s v="FILE"/>
    <x v="0"/>
    <x v="0"/>
    <x v="0"/>
    <s v="Conexões da Hidraulica de Esgoto"/>
    <d v="2020-12-10T00:00:00"/>
    <s v="Luiz Tiago"/>
    <s v="Go Kitchen"/>
    <s v="Madalena"/>
    <n v="1030"/>
    <d v="2020-12-10T00:00:00"/>
    <s v="Crédito"/>
    <m/>
    <m/>
    <x v="35"/>
    <s v="Pago"/>
    <d v="2020-12-10T00:00:00"/>
    <x v="4"/>
    <n v="1030"/>
    <n v="0"/>
    <n v="1030"/>
  </r>
  <r>
    <s v="E152"/>
    <s v="FILE"/>
    <x v="1"/>
    <x v="2"/>
    <x v="5"/>
    <s v="Conexões da Hidraulica de Esgoto"/>
    <d v="2020-12-10T00:00:00"/>
    <s v="Luiz Tiago"/>
    <s v="Armazen 224"/>
    <s v="Madalena"/>
    <n v="1030"/>
    <d v="2020-12-10T00:00:00"/>
    <s v="Crédito"/>
    <m/>
    <m/>
    <x v="35"/>
    <s v="Pago"/>
    <d v="2020-12-10T00:00:00"/>
    <x v="4"/>
    <n v="-1030"/>
    <n v="0"/>
    <n v="1030"/>
  </r>
  <r>
    <s v="E153"/>
    <s v="FILE"/>
    <x v="0"/>
    <x v="0"/>
    <x v="0"/>
    <s v="Madeiras para escorar o concretamento da laje das caixas d'agua"/>
    <d v="2020-12-10T00:00:00"/>
    <s v="Bruno"/>
    <s v="Go Kitchen"/>
    <s v="Madalena"/>
    <n v="2801.4"/>
    <d v="2020-12-10T00:00:00"/>
    <s v="Crédito"/>
    <m/>
    <m/>
    <x v="35"/>
    <s v="Pago"/>
    <d v="2020-12-10T00:00:00"/>
    <x v="4"/>
    <n v="2801.4"/>
    <n v="0"/>
    <n v="2801.4"/>
  </r>
  <r>
    <s v="E154"/>
    <s v="FILE"/>
    <x v="1"/>
    <x v="2"/>
    <x v="5"/>
    <s v="Madeiras para escorar o concretamento da laje das caixas d'agua"/>
    <d v="2020-12-10T00:00:00"/>
    <s v="Bruno"/>
    <s v="Ferreira Pinto"/>
    <s v="Madalena"/>
    <n v="2801.4"/>
    <d v="2020-12-10T00:00:00"/>
    <s v="Crédito"/>
    <m/>
    <m/>
    <x v="35"/>
    <s v="Pago"/>
    <d v="2020-12-10T00:00:00"/>
    <x v="4"/>
    <n v="-2801.4"/>
    <n v="0"/>
    <n v="2801.4"/>
  </r>
  <r>
    <s v="E155"/>
    <s v="FILE"/>
    <x v="0"/>
    <x v="0"/>
    <x v="0"/>
    <s v="14% do pagamento planejado para o dia 4/12 - Obra"/>
    <d v="2020-12-15T00:00:00"/>
    <s v="Bruno"/>
    <s v="Go Kitchen"/>
    <s v="Madalena"/>
    <n v="2495.9900000000016"/>
    <d v="2020-12-24T00:00:00"/>
    <s v="Transferência Bancária"/>
    <m/>
    <m/>
    <x v="36"/>
    <s v="Pago"/>
    <d v="2020-12-24T00:00:00"/>
    <x v="4"/>
    <n v="2495.9900000000016"/>
    <n v="0"/>
    <n v="2495.9900000000016"/>
  </r>
  <r>
    <s v="E156"/>
    <s v="FILE"/>
    <x v="0"/>
    <x v="0"/>
    <x v="0"/>
    <s v="25% do pagamento planejado para o dia 4/12 - Obra"/>
    <d v="2020-12-15T00:00:00"/>
    <s v="Matheus"/>
    <s v="Go Kitchen"/>
    <s v="Madalena"/>
    <n v="4396.1899999999996"/>
    <d v="2020-12-15T00:00:00"/>
    <s v="Transferência Bancária"/>
    <m/>
    <m/>
    <x v="37"/>
    <s v="Pago"/>
    <d v="2020-12-15T00:00:00"/>
    <x v="4"/>
    <n v="4396.1899999999996"/>
    <n v="0"/>
    <n v="4396.1899999999996"/>
  </r>
  <r>
    <s v="E157"/>
    <s v="FILE"/>
    <x v="0"/>
    <x v="0"/>
    <x v="0"/>
    <s v="25% do pagamento planejado para o dia 4/12 - Obra"/>
    <d v="2020-12-15T00:00:00"/>
    <s v="Luiz Tiago"/>
    <s v="Go Kitchen"/>
    <s v="Madalena"/>
    <n v="4396.1899999999996"/>
    <d v="2020-12-15T00:00:00"/>
    <s v="Transferência Bancária"/>
    <m/>
    <m/>
    <x v="37"/>
    <s v="Pago"/>
    <d v="2020-12-15T00:00:00"/>
    <x v="4"/>
    <n v="4396.1899999999996"/>
    <n v="0"/>
    <n v="4396.1899999999996"/>
  </r>
  <r>
    <s v="E158"/>
    <s v="FILE"/>
    <x v="1"/>
    <x v="2"/>
    <x v="3"/>
    <s v="25% do pagamento planejado para o dia 4/12 - Obra"/>
    <d v="2020-12-15T00:00:00"/>
    <s v="Matheus"/>
    <s v="CA Reformas"/>
    <s v="Madalena"/>
    <n v="4396.1899999999996"/>
    <d v="2020-12-15T00:00:00"/>
    <s v="Transferência Bancária"/>
    <m/>
    <m/>
    <x v="37"/>
    <s v="Pago"/>
    <d v="2020-12-15T00:00:00"/>
    <x v="4"/>
    <n v="-4396.1899999999996"/>
    <n v="0"/>
    <n v="4396.1899999999996"/>
  </r>
  <r>
    <s v="E159"/>
    <s v="FILE"/>
    <x v="1"/>
    <x v="2"/>
    <x v="5"/>
    <s v="25% do pagamento planejado para o dia 4/12 - Obra"/>
    <d v="2020-12-15T00:00:00"/>
    <s v="Luiz Tiago"/>
    <s v="CA Reformas"/>
    <s v="Madalena"/>
    <n v="4396.1899999999996"/>
    <d v="2020-12-15T00:00:00"/>
    <s v="Transferência Bancária"/>
    <m/>
    <m/>
    <x v="37"/>
    <s v="Pago"/>
    <d v="2020-12-15T00:00:00"/>
    <x v="4"/>
    <n v="-4396.1899999999996"/>
    <n v="0"/>
    <n v="4396.1899999999996"/>
  </r>
  <r>
    <s v="E160"/>
    <s v="FILE"/>
    <x v="0"/>
    <x v="0"/>
    <x v="0"/>
    <s v="36% do pagamento planejado para o dia 4/12 - Obra"/>
    <d v="2020-12-15T00:00:00"/>
    <s v="Bruno"/>
    <s v="Go Kitchen"/>
    <s v="Madalena"/>
    <n v="6296.37"/>
    <d v="2020-12-15T00:00:00"/>
    <s v="Transferência Bancária"/>
    <m/>
    <m/>
    <x v="37"/>
    <s v="Pago"/>
    <d v="2020-12-15T00:00:00"/>
    <x v="4"/>
    <n v="6296.37"/>
    <n v="0"/>
    <n v="6296.37"/>
  </r>
  <r>
    <s v="E161"/>
    <s v="FILE"/>
    <x v="1"/>
    <x v="2"/>
    <x v="3"/>
    <s v="36% do pagamento planejado para o dia 4/12 - Obra"/>
    <d v="2020-12-15T00:00:00"/>
    <s v="Bruno"/>
    <s v="CA Reformas"/>
    <s v="Madalena"/>
    <n v="6296.37"/>
    <d v="2020-12-15T00:00:00"/>
    <s v="Transferência Bancária"/>
    <m/>
    <m/>
    <x v="37"/>
    <s v="Pago"/>
    <d v="2020-12-15T00:00:00"/>
    <x v="4"/>
    <n v="-6296.37"/>
    <n v="0"/>
    <n v="6296.37"/>
  </r>
  <r>
    <s v="E162"/>
    <s v="FILE"/>
    <x v="0"/>
    <x v="0"/>
    <x v="0"/>
    <s v="Saldo da compra DE75 de conexões da Hidraulica de Esgoto, informaram preço errado e depois cobraram"/>
    <d v="2020-12-15T00:00:00"/>
    <s v="Bruno"/>
    <s v="Go Kitchen"/>
    <s v="Madalena"/>
    <n v="521.07000000000005"/>
    <d v="2020-12-15T00:00:00"/>
    <s v="Crédito"/>
    <m/>
    <m/>
    <x v="37"/>
    <s v="Pago"/>
    <d v="2020-12-15T00:00:00"/>
    <x v="4"/>
    <n v="521.07000000000005"/>
    <n v="0"/>
    <n v="521.07000000000005"/>
  </r>
  <r>
    <s v="E163"/>
    <s v="FILE"/>
    <x v="1"/>
    <x v="2"/>
    <x v="5"/>
    <s v="Saldo da compra DE75 de conexões da Hidraulica de Esgoto, informaram preço errado e depois cobraram"/>
    <d v="2020-12-15T00:00:00"/>
    <s v="Bruno"/>
    <s v="Armazen 224"/>
    <s v="Madalena"/>
    <n v="521.07000000000005"/>
    <d v="2020-12-15T00:00:00"/>
    <s v="Crédito"/>
    <m/>
    <m/>
    <x v="37"/>
    <s v="Pago"/>
    <d v="2020-12-15T00:00:00"/>
    <x v="4"/>
    <n v="-521.07000000000005"/>
    <n v="0"/>
    <n v="521.07000000000005"/>
  </r>
  <r>
    <s v="E164"/>
    <s v="FILE"/>
    <x v="1"/>
    <x v="2"/>
    <x v="5"/>
    <s v="14% do pagamento planejado para o dia 4/12 - Obra"/>
    <d v="2020-12-20T00:00:00"/>
    <s v="Bruno"/>
    <s v="CA Reformas"/>
    <s v="Madalena"/>
    <n v="2495.9900000000016"/>
    <d v="2020-12-24T00:00:00"/>
    <s v="Transferência Bancária"/>
    <m/>
    <m/>
    <x v="36"/>
    <s v="Pago"/>
    <d v="2020-12-24T00:00:00"/>
    <x v="4"/>
    <n v="-2495.9900000000016"/>
    <n v="0"/>
    <n v="2495.9900000000016"/>
  </r>
  <r>
    <s v="E165"/>
    <s v="FILE"/>
    <x v="0"/>
    <x v="0"/>
    <x v="0"/>
    <s v="100 sacos de cimento para obra"/>
    <d v="2020-12-16T00:00:00"/>
    <s v="Bruno"/>
    <s v="Go Kitchen"/>
    <s v="Madalena"/>
    <n v="2835"/>
    <d v="2020-12-16T00:00:00"/>
    <s v="Crédito"/>
    <m/>
    <m/>
    <x v="38"/>
    <s v="Pago"/>
    <d v="2020-12-16T00:00:00"/>
    <x v="4"/>
    <n v="2835"/>
    <n v="0"/>
    <n v="2835"/>
  </r>
  <r>
    <s v="E166"/>
    <s v="FILE"/>
    <x v="1"/>
    <x v="2"/>
    <x v="5"/>
    <s v="100 sacos de cimento para obra"/>
    <d v="2020-12-16T00:00:00"/>
    <s v="Bruno"/>
    <s v="AMD Distribuidora"/>
    <s v="Madalena"/>
    <n v="2835"/>
    <d v="2020-12-16T00:00:00"/>
    <s v="Crédito"/>
    <m/>
    <m/>
    <x v="38"/>
    <s v="Pago"/>
    <d v="2020-12-16T00:00:00"/>
    <x v="4"/>
    <n v="-2835"/>
    <n v="0"/>
    <n v="2835"/>
  </r>
  <r>
    <s v="E167"/>
    <s v="FILE"/>
    <x v="0"/>
    <x v="0"/>
    <x v="0"/>
    <s v="Valor para completar o que tem em conta e pagar André"/>
    <d v="2020-12-21T00:00:00"/>
    <s v="Bruno"/>
    <s v="Go Kitchen"/>
    <s v="Madalena"/>
    <n v="150"/>
    <d v="2020-12-21T00:00:00"/>
    <s v="Transferência Bancária"/>
    <m/>
    <m/>
    <x v="15"/>
    <s v="Pago"/>
    <d v="2020-12-21T00:00:00"/>
    <x v="4"/>
    <n v="150"/>
    <n v="0"/>
    <n v="150"/>
  </r>
  <r>
    <s v="E168"/>
    <s v="FILE"/>
    <x v="1"/>
    <x v="7"/>
    <x v="10"/>
    <s v="Taxa de Instalação do sistema de segurança"/>
    <d v="2020-12-20T00:00:00"/>
    <s v="Bruno"/>
    <s v="Grupo SEG"/>
    <s v="Madalena"/>
    <n v="150"/>
    <d v="2020-12-22T00:00:00"/>
    <s v="Boleto"/>
    <m/>
    <m/>
    <x v="39"/>
    <s v="Pago"/>
    <d v="2020-12-22T00:00:00"/>
    <x v="4"/>
    <n v="-150"/>
    <n v="0"/>
    <n v="150"/>
  </r>
  <r>
    <s v="E169"/>
    <s v="FILE"/>
    <x v="1"/>
    <x v="7"/>
    <x v="10"/>
    <s v="Mensalidade 1 de 12 ano 1"/>
    <d v="2020-12-20T00:00:00"/>
    <s v="Bruno"/>
    <s v="Grupo SEG"/>
    <s v="Madalena"/>
    <n v="190"/>
    <d v="2021-01-03T00:00:00"/>
    <s v="Boleto"/>
    <m/>
    <m/>
    <x v="40"/>
    <s v="Pago"/>
    <d v="2021-01-04T00:00:00"/>
    <x v="6"/>
    <n v="-190"/>
    <n v="0"/>
    <n v="190"/>
  </r>
  <r>
    <s v="E170"/>
    <s v="FILE"/>
    <x v="1"/>
    <x v="7"/>
    <x v="10"/>
    <s v="Mensalidade 2 de 12 ano 1"/>
    <d v="2020-12-20T00:00:00"/>
    <s v="Bruno"/>
    <s v="Grupo SEG"/>
    <s v="Madalena"/>
    <n v="190"/>
    <d v="2021-02-03T00:00:00"/>
    <s v="Boleto"/>
    <m/>
    <m/>
    <x v="41"/>
    <s v="Pago"/>
    <d v="2021-02-03T00:00:00"/>
    <x v="7"/>
    <n v="-190"/>
    <n v="0"/>
    <n v="190"/>
  </r>
  <r>
    <s v="E171"/>
    <s v="FILE"/>
    <x v="1"/>
    <x v="7"/>
    <x v="10"/>
    <s v="Mensalidade 3 de 12 ano 1"/>
    <d v="2020-12-20T00:00:00"/>
    <s v="Bruno"/>
    <s v="Grupo SEG"/>
    <s v="Madalena"/>
    <n v="190"/>
    <d v="2021-03-03T00:00:00"/>
    <s v="Boleto"/>
    <m/>
    <m/>
    <x v="41"/>
    <s v="Pago"/>
    <d v="2021-03-03T00:00:00"/>
    <x v="7"/>
    <n v="-190"/>
    <n v="0"/>
    <n v="190"/>
  </r>
  <r>
    <s v="E172"/>
    <s v="FILE"/>
    <x v="1"/>
    <x v="7"/>
    <x v="10"/>
    <s v="Mensalidade 4 de 12 ano 1"/>
    <d v="2020-12-20T00:00:00"/>
    <s v="Bruno"/>
    <s v="Grupo SEG"/>
    <s v="Madalena"/>
    <n v="190"/>
    <d v="2021-04-03T00:00:00"/>
    <s v="Boleto"/>
    <m/>
    <m/>
    <x v="42"/>
    <s v="Pago"/>
    <d v="2021-04-05T00:00:00"/>
    <x v="8"/>
    <n v="-190"/>
    <n v="0"/>
    <n v="190"/>
  </r>
  <r>
    <s v="E173"/>
    <s v="FILE"/>
    <x v="1"/>
    <x v="7"/>
    <x v="10"/>
    <s v="Mensalidade 5 de 12 ano 1"/>
    <d v="2020-12-20T00:00:00"/>
    <s v="Bruno"/>
    <s v="Grupo SEG"/>
    <s v="Madalena"/>
    <n v="190"/>
    <d v="2021-05-03T00:00:00"/>
    <s v="Boleto"/>
    <m/>
    <m/>
    <x v="43"/>
    <s v="Pago"/>
    <d v="2021-05-03T00:00:00"/>
    <x v="9"/>
    <n v="-190"/>
    <n v="0"/>
    <n v="190"/>
  </r>
  <r>
    <s v="E174"/>
    <s v="FILE"/>
    <x v="1"/>
    <x v="7"/>
    <x v="10"/>
    <s v="Mensalidade 6 de 12 ano 1"/>
    <d v="2020-12-20T00:00:00"/>
    <m/>
    <s v="Grupo SEG"/>
    <s v="Madalena"/>
    <n v="190"/>
    <d v="2021-06-03T00:00:00"/>
    <s v="Boleto"/>
    <m/>
    <m/>
    <x v="44"/>
    <s v="Vencido"/>
    <d v="2021-06-03T00:00:00"/>
    <x v="10"/>
    <n v="0"/>
    <n v="0"/>
    <s v=""/>
  </r>
  <r>
    <s v="E175"/>
    <s v="FILE"/>
    <x v="1"/>
    <x v="7"/>
    <x v="10"/>
    <s v="Mensalidade 7 de 12 ano 1"/>
    <d v="2020-12-20T00:00:00"/>
    <m/>
    <s v="Grupo SEG"/>
    <s v="Madalena"/>
    <n v="190"/>
    <d v="2021-07-03T00:00:00"/>
    <s v="Boleto"/>
    <m/>
    <m/>
    <x v="44"/>
    <s v="Em Aberto"/>
    <d v="2021-07-05T00:00:00"/>
    <x v="10"/>
    <n v="0"/>
    <n v="190"/>
    <s v=""/>
  </r>
  <r>
    <s v="E176"/>
    <s v="FILE"/>
    <x v="1"/>
    <x v="7"/>
    <x v="10"/>
    <s v="Mensalidade 8 de 12 ano 1"/>
    <d v="2020-12-20T00:00:00"/>
    <m/>
    <s v="Grupo SEG"/>
    <s v="Madalena"/>
    <n v="190"/>
    <d v="2021-08-03T00:00:00"/>
    <s v="Boleto"/>
    <m/>
    <m/>
    <x v="44"/>
    <s v="Em Aberto"/>
    <d v="2021-08-03T00:00:00"/>
    <x v="10"/>
    <n v="0"/>
    <n v="190"/>
    <s v=""/>
  </r>
  <r>
    <s v="E177"/>
    <s v="FILE"/>
    <x v="1"/>
    <x v="7"/>
    <x v="10"/>
    <s v="Mensalidade 9 de 12 ano 1"/>
    <d v="2020-12-20T00:00:00"/>
    <m/>
    <s v="Grupo SEG"/>
    <s v="Madalena"/>
    <n v="190"/>
    <d v="2021-09-03T00:00:00"/>
    <s v="Boleto"/>
    <m/>
    <m/>
    <x v="44"/>
    <s v="Em Aberto"/>
    <d v="2021-09-03T00:00:00"/>
    <x v="10"/>
    <n v="0"/>
    <n v="190"/>
    <s v=""/>
  </r>
  <r>
    <s v="E178"/>
    <s v="FILE"/>
    <x v="1"/>
    <x v="7"/>
    <x v="10"/>
    <s v="Mensalidade 10 de 12 ano 1"/>
    <d v="2020-12-20T00:00:00"/>
    <m/>
    <s v="Grupo SEG"/>
    <s v="Madalena"/>
    <n v="190"/>
    <d v="2021-10-03T00:00:00"/>
    <s v="Boleto"/>
    <m/>
    <m/>
    <x v="44"/>
    <s v="Em Aberto"/>
    <d v="2021-10-04T00:00:00"/>
    <x v="10"/>
    <n v="0"/>
    <n v="190"/>
    <s v=""/>
  </r>
  <r>
    <s v="E179"/>
    <s v="FILE"/>
    <x v="1"/>
    <x v="7"/>
    <x v="10"/>
    <s v="Mensalidade 11 de 12 ano 1"/>
    <d v="2020-12-20T00:00:00"/>
    <m/>
    <s v="Grupo SEG"/>
    <s v="Madalena"/>
    <n v="190"/>
    <d v="2021-11-03T00:00:00"/>
    <s v="Boleto"/>
    <m/>
    <m/>
    <x v="44"/>
    <s v="Em Aberto"/>
    <d v="2021-11-03T00:00:00"/>
    <x v="10"/>
    <n v="0"/>
    <n v="190"/>
    <s v=""/>
  </r>
  <r>
    <s v="E180"/>
    <s v="FILE"/>
    <x v="1"/>
    <x v="7"/>
    <x v="10"/>
    <s v="Mensalidade 12 de 12 ano 1"/>
    <d v="2020-12-20T00:00:00"/>
    <m/>
    <s v="Grupo SEG"/>
    <s v="Madalena"/>
    <n v="190"/>
    <d v="2021-12-03T00:00:00"/>
    <s v="Boleto"/>
    <m/>
    <m/>
    <x v="44"/>
    <s v="Em Aberto"/>
    <d v="2021-12-03T00:00:00"/>
    <x v="10"/>
    <n v="0"/>
    <n v="190"/>
    <s v=""/>
  </r>
  <r>
    <s v="E181"/>
    <s v="FILE"/>
    <x v="0"/>
    <x v="0"/>
    <x v="0"/>
    <s v="Taxa de Instalação do sistema de segurança"/>
    <d v="2020-12-22T00:00:00"/>
    <s v="Bruno"/>
    <s v="Go Kitchen"/>
    <s v="Madalena"/>
    <n v="150"/>
    <d v="2020-12-22T00:00:00"/>
    <s v="Boleto"/>
    <m/>
    <m/>
    <x v="39"/>
    <s v="Pago"/>
    <d v="2020-12-22T00:00:00"/>
    <x v="4"/>
    <n v="150"/>
    <n v="0"/>
    <n v="150"/>
  </r>
  <r>
    <s v="E182"/>
    <s v="FILE"/>
    <x v="0"/>
    <x v="0"/>
    <x v="0"/>
    <s v="pagamento da semana 11/12"/>
    <d v="2020-12-24T00:00:00"/>
    <s v="Bruno"/>
    <s v="Go Kitchen"/>
    <s v="Madalena"/>
    <n v="8000"/>
    <d v="2020-12-24T00:00:00"/>
    <s v="Transferência Bancária"/>
    <m/>
    <m/>
    <x v="36"/>
    <s v="Pago"/>
    <d v="2020-12-24T00:00:00"/>
    <x v="4"/>
    <n v="8000"/>
    <n v="0"/>
    <n v="8000"/>
  </r>
  <r>
    <s v="E183"/>
    <s v="FILE"/>
    <x v="1"/>
    <x v="2"/>
    <x v="5"/>
    <s v="pagamento da semana 11/12"/>
    <d v="2020-12-24T00:00:00"/>
    <s v="Bruno"/>
    <s v="CA Reformas"/>
    <s v="Madalena"/>
    <n v="8000"/>
    <d v="2020-12-24T00:00:00"/>
    <s v="Transferência Bancária"/>
    <m/>
    <m/>
    <x v="36"/>
    <s v="Pago"/>
    <d v="2020-12-24T00:00:00"/>
    <x v="4"/>
    <n v="-8000"/>
    <n v="0"/>
    <n v="8000"/>
  </r>
  <r>
    <s v="E184"/>
    <s v="FILE"/>
    <x v="0"/>
    <x v="0"/>
    <x v="0"/>
    <s v="pagamento da semana 11/12"/>
    <d v="2020-12-22T00:00:00"/>
    <s v="Matheus"/>
    <s v="Go Kitchen"/>
    <s v="Madalena"/>
    <n v="4854.74"/>
    <d v="2020-12-22T00:00:00"/>
    <s v="Transferência Bancária"/>
    <m/>
    <m/>
    <x v="39"/>
    <s v="Pago"/>
    <d v="2020-12-22T00:00:00"/>
    <x v="4"/>
    <n v="4854.74"/>
    <n v="0"/>
    <n v="4854.74"/>
  </r>
  <r>
    <s v="E185"/>
    <s v="FILE"/>
    <x v="1"/>
    <x v="2"/>
    <x v="5"/>
    <s v="pagamento da semana 11/12"/>
    <d v="2020-12-22T00:00:00"/>
    <s v="Matheus"/>
    <s v="CA Reformas"/>
    <s v="Madalena"/>
    <n v="4854.74"/>
    <d v="2020-12-22T00:00:00"/>
    <s v="Transferência Bancária"/>
    <m/>
    <m/>
    <x v="39"/>
    <s v="Pago"/>
    <d v="2020-12-22T00:00:00"/>
    <x v="4"/>
    <n v="-4854.74"/>
    <n v="0"/>
    <n v="4854.74"/>
  </r>
  <r>
    <s v="E186"/>
    <s v="FILE"/>
    <x v="0"/>
    <x v="0"/>
    <x v="0"/>
    <s v="pagamento da semana 11/12"/>
    <d v="2020-12-24T00:00:00"/>
    <s v="Luiz Tiago"/>
    <s v="Go Kitchen"/>
    <s v="Madalena"/>
    <n v="4854.74"/>
    <d v="2020-12-24T00:00:00"/>
    <s v="Transferência Bancária"/>
    <m/>
    <m/>
    <x v="36"/>
    <s v="Pago"/>
    <d v="2020-12-24T00:00:00"/>
    <x v="4"/>
    <n v="4854.74"/>
    <n v="0"/>
    <n v="4854.74"/>
  </r>
  <r>
    <s v="E187"/>
    <s v="FILE"/>
    <x v="1"/>
    <x v="2"/>
    <x v="5"/>
    <s v="pagamento da semana 11/12"/>
    <d v="2020-12-24T00:00:00"/>
    <s v="Luiz Tiago"/>
    <s v="CA Reformas"/>
    <s v="Madalena"/>
    <n v="4854.74"/>
    <d v="2020-12-24T00:00:00"/>
    <s v="Transferência Bancária"/>
    <m/>
    <m/>
    <x v="36"/>
    <s v="Pago"/>
    <d v="2020-12-24T00:00:00"/>
    <x v="4"/>
    <n v="-4854.74"/>
    <n v="0"/>
    <n v="4854.74"/>
  </r>
  <r>
    <s v="E188"/>
    <s v="FILE"/>
    <x v="0"/>
    <x v="0"/>
    <x v="0"/>
    <s v="GRU Manifestação sobre Oposição"/>
    <d v="2020-12-28T00:00:00"/>
    <s v="Bruno"/>
    <s v="Go Kitchen"/>
    <s v="Madalena"/>
    <n v="112"/>
    <d v="2020-12-28T00:00:00"/>
    <s v="Boleto"/>
    <m/>
    <m/>
    <x v="45"/>
    <s v="Pago"/>
    <d v="2020-12-28T00:00:00"/>
    <x v="4"/>
    <n v="112"/>
    <n v="0"/>
    <n v="112"/>
  </r>
  <r>
    <s v="E189"/>
    <s v="FILE"/>
    <x v="1"/>
    <x v="1"/>
    <x v="1"/>
    <s v="GRU Manifestação sobre Oposição"/>
    <d v="2020-12-28T00:00:00"/>
    <s v="Bruno"/>
    <s v="INPI"/>
    <s v="Madalena"/>
    <n v="112"/>
    <d v="2020-12-28T00:00:00"/>
    <s v="Boleto"/>
    <m/>
    <m/>
    <x v="45"/>
    <s v="Pago"/>
    <d v="2020-12-28T00:00:00"/>
    <x v="4"/>
    <n v="-112"/>
    <n v="0"/>
    <n v="112"/>
  </r>
  <r>
    <s v="E190"/>
    <s v="FILE"/>
    <x v="0"/>
    <x v="0"/>
    <x v="0"/>
    <s v="25% do pagamento planejado para o dia 18/12 - Obra"/>
    <d v="2020-12-28T00:00:00"/>
    <s v="Matheus"/>
    <s v="Go Kitchen"/>
    <s v="Madalena"/>
    <n v="3650.09"/>
    <d v="2020-12-28T00:00:00"/>
    <s v="Transferência Bancária"/>
    <m/>
    <m/>
    <x v="45"/>
    <s v="Pago"/>
    <d v="2020-12-28T00:00:00"/>
    <x v="4"/>
    <n v="3650.09"/>
    <n v="0"/>
    <n v="3650.09"/>
  </r>
  <r>
    <s v="E191"/>
    <s v="FILE"/>
    <x v="1"/>
    <x v="2"/>
    <x v="3"/>
    <s v="25% do pagamento planejado para o dia 18/12 - Obra"/>
    <d v="2020-12-28T00:00:00"/>
    <s v="Matheus"/>
    <s v="CA Reformas"/>
    <s v="Madalena"/>
    <n v="3650.09"/>
    <d v="2020-12-28T00:00:00"/>
    <s v="Transferência Bancária"/>
    <m/>
    <m/>
    <x v="45"/>
    <s v="Pago"/>
    <d v="2020-12-28T00:00:00"/>
    <x v="4"/>
    <n v="-3650.09"/>
    <n v="0"/>
    <n v="3650.09"/>
  </r>
  <r>
    <s v="E192"/>
    <s v="FILE"/>
    <x v="0"/>
    <x v="0"/>
    <x v="0"/>
    <s v="7 Tubos de PVC 75mm"/>
    <d v="2020-12-29T00:00:00"/>
    <s v="Luiz Tiago"/>
    <s v="Go Kitchen"/>
    <s v="Madalena"/>
    <n v="490"/>
    <d v="2020-12-29T00:00:00"/>
    <s v="Crédito"/>
    <m/>
    <m/>
    <x v="46"/>
    <s v="Pago"/>
    <d v="2020-12-29T00:00:00"/>
    <x v="4"/>
    <n v="490"/>
    <n v="0"/>
    <n v="490"/>
  </r>
  <r>
    <s v="E193"/>
    <s v="FILE"/>
    <x v="1"/>
    <x v="2"/>
    <x v="5"/>
    <s v="7 Tubos de PVC 75mm"/>
    <d v="2020-12-29T00:00:00"/>
    <s v="Luiz Tiago"/>
    <s v="Comercial VEGA"/>
    <s v="Madalena"/>
    <n v="490"/>
    <d v="2020-12-29T00:00:00"/>
    <s v="Crédito"/>
    <m/>
    <m/>
    <x v="46"/>
    <s v="Pago"/>
    <d v="2020-12-29T00:00:00"/>
    <x v="4"/>
    <n v="-490"/>
    <n v="0"/>
    <n v="490"/>
  </r>
  <r>
    <s v="E194"/>
    <s v="FILE"/>
    <x v="0"/>
    <x v="0"/>
    <x v="0"/>
    <s v="Madeiras para escorar o concretamento da laje das caixas d'agua"/>
    <d v="2020-12-29T00:00:00"/>
    <s v="Luiz Tiago"/>
    <s v="Go Kitchen"/>
    <s v="Madalena"/>
    <n v="135"/>
    <d v="2020-12-29T00:00:00"/>
    <s v="Crédito"/>
    <m/>
    <m/>
    <x v="46"/>
    <s v="Pago"/>
    <d v="2020-12-29T00:00:00"/>
    <x v="4"/>
    <n v="135"/>
    <n v="0"/>
    <n v="135"/>
  </r>
  <r>
    <s v="E195"/>
    <s v="FILE"/>
    <x v="1"/>
    <x v="2"/>
    <x v="5"/>
    <s v="Madeiras para escorar o concretamento da laje das caixas d'agua"/>
    <d v="2020-12-29T00:00:00"/>
    <s v="Luiz Tiago"/>
    <s v="Madereira São judas"/>
    <s v="Madalena"/>
    <n v="135"/>
    <d v="2020-12-29T00:00:00"/>
    <s v="Crédito"/>
    <m/>
    <m/>
    <x v="46"/>
    <s v="Pago"/>
    <d v="2020-12-29T00:00:00"/>
    <x v="4"/>
    <n v="-135"/>
    <n v="0"/>
    <n v="135"/>
  </r>
  <r>
    <s v="E196"/>
    <s v="FILE"/>
    <x v="0"/>
    <x v="0"/>
    <x v="0"/>
    <s v="Ferragens"/>
    <d v="2020-12-29T00:00:00"/>
    <s v="Luiz Tiago"/>
    <s v="Go Kitchen"/>
    <s v="Madalena"/>
    <n v="823"/>
    <d v="2020-12-29T00:00:00"/>
    <s v="Crédito"/>
    <m/>
    <m/>
    <x v="46"/>
    <s v="Pago"/>
    <d v="2020-12-29T00:00:00"/>
    <x v="4"/>
    <n v="823"/>
    <n v="0"/>
    <n v="823"/>
  </r>
  <r>
    <s v="E197"/>
    <s v="FILE"/>
    <x v="1"/>
    <x v="2"/>
    <x v="5"/>
    <s v="Ferragens"/>
    <d v="2020-12-29T00:00:00"/>
    <s v="Luiz Tiago"/>
    <s v="Aurivan Ferragens"/>
    <s v="Madalena"/>
    <n v="823"/>
    <d v="2020-12-29T00:00:00"/>
    <s v="Crédito"/>
    <m/>
    <m/>
    <x v="46"/>
    <s v="Pago"/>
    <d v="2020-12-29T00:00:00"/>
    <x v="4"/>
    <n v="-823"/>
    <n v="0"/>
    <n v="823"/>
  </r>
  <r>
    <s v="E198"/>
    <s v="FILE"/>
    <x v="0"/>
    <x v="0"/>
    <x v="0"/>
    <s v="100 sacos de cimento para obra"/>
    <d v="2020-12-29T00:00:00"/>
    <s v="Luiz Tiago"/>
    <s v="Go Kitchen"/>
    <s v="Madalena"/>
    <n v="2835"/>
    <d v="2020-12-29T00:00:00"/>
    <s v="Crédito"/>
    <m/>
    <m/>
    <x v="46"/>
    <s v="Pago"/>
    <d v="2020-12-29T00:00:00"/>
    <x v="4"/>
    <n v="2835"/>
    <n v="0"/>
    <n v="2835"/>
  </r>
  <r>
    <s v="E199"/>
    <s v="FILE"/>
    <x v="1"/>
    <x v="2"/>
    <x v="5"/>
    <s v="100 sacos de cimento para obra"/>
    <d v="2020-12-29T00:00:00"/>
    <s v="Luiz Tiago"/>
    <s v="AMD Distribuidora"/>
    <s v="Madalena"/>
    <n v="2835"/>
    <d v="2020-12-29T00:00:00"/>
    <s v="Crédito"/>
    <m/>
    <m/>
    <x v="46"/>
    <s v="Pago"/>
    <d v="2020-12-29T00:00:00"/>
    <x v="4"/>
    <n v="-2835"/>
    <n v="0"/>
    <n v="2835"/>
  </r>
  <r>
    <s v="E200"/>
    <s v="FILE"/>
    <x v="0"/>
    <x v="0"/>
    <x v="0"/>
    <s v="25% do pagamento planejado para o dia 18/12 - Obra"/>
    <d v="2021-01-04T00:00:00"/>
    <s v="Luiz Tiago"/>
    <s v="Go Kitchen"/>
    <s v="Madalena"/>
    <n v="3650.09"/>
    <d v="2021-01-04T00:00:00"/>
    <s v="Transferência Bancária"/>
    <m/>
    <m/>
    <x v="47"/>
    <s v="Pago"/>
    <d v="2021-01-04T00:00:00"/>
    <x v="6"/>
    <n v="3650.09"/>
    <n v="0"/>
    <n v="3650.09"/>
  </r>
  <r>
    <s v="E201"/>
    <s v="FILE"/>
    <x v="1"/>
    <x v="2"/>
    <x v="5"/>
    <s v="25% do pagamento planejado para o dia 18/12 - Obra"/>
    <d v="2021-01-04T00:00:00"/>
    <s v="Luiz Tiago"/>
    <s v="CA Reformas"/>
    <s v="Madalena"/>
    <n v="3650.09"/>
    <d v="2021-01-04T00:00:00"/>
    <s v="Transferência Bancária"/>
    <m/>
    <m/>
    <x v="47"/>
    <s v="Pago"/>
    <d v="2021-01-04T00:00:00"/>
    <x v="6"/>
    <n v="-3650.09"/>
    <n v="0"/>
    <n v="3650.09"/>
  </r>
  <r>
    <s v="E202"/>
    <s v="FILE"/>
    <x v="0"/>
    <x v="0"/>
    <x v="0"/>
    <s v="50% do pagamento planejado para o dia 18/12 - Obra"/>
    <d v="2021-01-04T00:00:00"/>
    <s v="Bruno"/>
    <s v="Go Kitchen"/>
    <s v="Madalena"/>
    <n v="7250.18"/>
    <d v="2021-01-04T00:00:00"/>
    <s v="Transferência Bancária"/>
    <m/>
    <m/>
    <x v="47"/>
    <s v="Pago"/>
    <d v="2021-01-04T00:00:00"/>
    <x v="6"/>
    <n v="7250.18"/>
    <n v="0"/>
    <n v="7250.18"/>
  </r>
  <r>
    <s v="E203"/>
    <s v="FILE"/>
    <x v="1"/>
    <x v="2"/>
    <x v="5"/>
    <s v="50% do pagamento planejado para o dia 18/12 - Obra"/>
    <d v="2021-01-04T00:00:00"/>
    <s v="Bruno"/>
    <s v="CA Reformas"/>
    <s v="Madalena"/>
    <n v="7250.18"/>
    <d v="2021-01-04T00:00:00"/>
    <s v="Transferência Bancária"/>
    <m/>
    <m/>
    <x v="47"/>
    <s v="Pago"/>
    <d v="2021-01-04T00:00:00"/>
    <x v="6"/>
    <n v="-7250.18"/>
    <n v="0"/>
    <n v="7250.18"/>
  </r>
  <r>
    <s v="E204"/>
    <s v="FILE"/>
    <x v="0"/>
    <x v="0"/>
    <x v="0"/>
    <s v="Reembolso Material semanas 01/01/21 a 08/01/2021"/>
    <d v="2021-01-08T00:00:00"/>
    <s v="Matheus"/>
    <s v="Go Kitchen"/>
    <s v="Madalena"/>
    <n v="3030"/>
    <d v="2021-01-08T00:00:00"/>
    <s v="Transferência Bancária"/>
    <m/>
    <m/>
    <x v="48"/>
    <s v="Pago"/>
    <d v="2021-01-08T00:00:00"/>
    <x v="6"/>
    <n v="3030"/>
    <n v="0"/>
    <n v="3030"/>
  </r>
  <r>
    <s v="E205"/>
    <s v="FILE"/>
    <x v="1"/>
    <x v="2"/>
    <x v="5"/>
    <s v="Reembolso Material semanas 01/01/21 a 08/01/2021"/>
    <d v="2021-01-08T00:00:00"/>
    <s v="Matheus"/>
    <s v="CA Reformas"/>
    <s v="Madalena"/>
    <n v="3030"/>
    <d v="2021-01-08T00:00:00"/>
    <s v="Transferência Bancária"/>
    <m/>
    <m/>
    <x v="48"/>
    <s v="Pago"/>
    <d v="2021-01-08T00:00:00"/>
    <x v="6"/>
    <n v="-3030"/>
    <n v="0"/>
    <n v="3030"/>
  </r>
  <r>
    <s v="E206"/>
    <s v="FILE"/>
    <x v="0"/>
    <x v="0"/>
    <x v="0"/>
    <s v="100% do pagamento planejado para o dia 01/01/21 - Obra"/>
    <d v="2021-01-08T00:00:00"/>
    <s v="Matheus"/>
    <s v="Go Kitchen"/>
    <s v="Madalena"/>
    <n v="6239.37"/>
    <d v="2021-01-08T00:00:00"/>
    <s v="Transferência Bancária"/>
    <m/>
    <m/>
    <x v="48"/>
    <s v="Pago"/>
    <d v="2021-01-08T00:00:00"/>
    <x v="6"/>
    <n v="6239.37"/>
    <n v="0"/>
    <n v="6239.37"/>
  </r>
  <r>
    <s v="E207"/>
    <s v="FILE"/>
    <x v="1"/>
    <x v="2"/>
    <x v="3"/>
    <s v="100% do pagamento planejado para o dia 01/01/21 - Obra"/>
    <d v="2021-01-08T00:00:00"/>
    <s v="Matheus"/>
    <s v="CA Reformas"/>
    <s v="Madalena"/>
    <n v="6239.37"/>
    <d v="2021-01-08T00:00:00"/>
    <s v="Transferência Bancária"/>
    <m/>
    <m/>
    <x v="48"/>
    <s v="Pago"/>
    <d v="2021-01-08T00:00:00"/>
    <x v="6"/>
    <n v="-6239.37"/>
    <n v="0"/>
    <n v="6239.37"/>
  </r>
  <r>
    <s v="E208"/>
    <s v="FILE"/>
    <x v="0"/>
    <x v="0"/>
    <x v="0"/>
    <s v="28% do Pagamento da Semana 15/01/21 - Obra"/>
    <d v="2021-01-15T00:00:00"/>
    <s v="Luiz Tiago"/>
    <s v="Go Kitchen"/>
    <s v="Madalena"/>
    <n v="4367.6099999999997"/>
    <d v="2021-01-15T00:00:00"/>
    <s v="Transferência Bancária"/>
    <m/>
    <m/>
    <x v="40"/>
    <s v="Pago"/>
    <d v="2021-01-15T00:00:00"/>
    <x v="6"/>
    <n v="4367.6099999999997"/>
    <n v="0"/>
    <n v="4367.6099999999997"/>
  </r>
  <r>
    <s v="E209"/>
    <s v="FILE"/>
    <x v="1"/>
    <x v="2"/>
    <x v="5"/>
    <s v="28% do Pagamento da Semana 15/01/21 - Obra"/>
    <d v="2021-01-15T00:00:00"/>
    <s v="Luiz Tiago"/>
    <s v="CA Reformas"/>
    <s v="Madalena"/>
    <n v="4367.6099999999997"/>
    <d v="2021-01-15T00:00:00"/>
    <s v="Transferência Bancária"/>
    <m/>
    <m/>
    <x v="40"/>
    <s v="Pago"/>
    <d v="2021-01-15T00:00:00"/>
    <x v="6"/>
    <n v="-4367.6099999999997"/>
    <n v="0"/>
    <n v="4367.6099999999997"/>
  </r>
  <r>
    <s v="E210"/>
    <s v="FILE"/>
    <x v="0"/>
    <x v="0"/>
    <x v="0"/>
    <s v="Aporte da Segurança Eletronica"/>
    <d v="2021-01-03T00:00:00"/>
    <s v="Bruno"/>
    <s v="Go Kitchen"/>
    <s v="Madalena"/>
    <n v="190"/>
    <d v="2021-01-03T00:00:00"/>
    <s v="Boleto"/>
    <m/>
    <m/>
    <x v="49"/>
    <s v="Pago"/>
    <d v="2021-01-04T00:00:00"/>
    <x v="6"/>
    <n v="190"/>
    <n v="0"/>
    <n v="190"/>
  </r>
  <r>
    <s v="E211"/>
    <s v="FILE"/>
    <x v="0"/>
    <x v="0"/>
    <x v="0"/>
    <s v="Aporte do Juros da mensalidade da segurança eletronica"/>
    <d v="2021-01-03T00:00:00"/>
    <s v="Bruno"/>
    <s v="Go Kitchen"/>
    <s v="Madalena"/>
    <n v="13.88"/>
    <d v="2021-01-03T00:00:00"/>
    <s v="Boleto"/>
    <m/>
    <m/>
    <x v="49"/>
    <s v="Pago"/>
    <d v="2021-01-04T00:00:00"/>
    <x v="6"/>
    <n v="13.88"/>
    <n v="0"/>
    <n v="13.88"/>
  </r>
  <r>
    <s v="E212"/>
    <s v="FILE"/>
    <x v="1"/>
    <x v="8"/>
    <x v="11"/>
    <s v="Juros da Segurança Eletronica"/>
    <d v="2021-01-03T00:00:00"/>
    <s v="Bruno"/>
    <s v="Grupo SEG"/>
    <s v="Madalena"/>
    <n v="13.88"/>
    <d v="2021-01-03T00:00:00"/>
    <s v="Boleto"/>
    <m/>
    <m/>
    <x v="49"/>
    <s v="Pago"/>
    <d v="2021-01-04T00:00:00"/>
    <x v="6"/>
    <n v="-13.88"/>
    <n v="0"/>
    <n v="13.88"/>
  </r>
  <r>
    <s v="E213"/>
    <s v="FILE"/>
    <x v="0"/>
    <x v="0"/>
    <x v="0"/>
    <s v="Transportes das ceramicas de Carpina para a Obra (fornecedor pequeno pago em dinheiro sem nota)"/>
    <d v="2021-01-19T00:00:00"/>
    <s v="Bruno"/>
    <s v="Go Kitchen"/>
    <s v="Madalena"/>
    <n v="300"/>
    <d v="2021-01-19T00:00:00"/>
    <s v="Dinheiro"/>
    <m/>
    <m/>
    <x v="49"/>
    <s v="Pago"/>
    <d v="2021-01-19T00:00:00"/>
    <x v="6"/>
    <n v="300"/>
    <n v="0"/>
    <n v="300"/>
  </r>
  <r>
    <s v="E214"/>
    <s v="FILE"/>
    <x v="1"/>
    <x v="1"/>
    <x v="1"/>
    <s v="Transportes das ceramicas de Carpina para a Obra (fornecedor pequeno pago em dinheiro sem nota)"/>
    <d v="2021-01-19T00:00:00"/>
    <s v="Bruno"/>
    <s v="Freteiro Paudalho"/>
    <s v="Madalena"/>
    <n v="300"/>
    <d v="2021-01-19T00:00:00"/>
    <s v="Dinheiro"/>
    <m/>
    <m/>
    <x v="49"/>
    <s v="Pago"/>
    <d v="2021-01-19T00:00:00"/>
    <x v="6"/>
    <n v="-300"/>
    <n v="0"/>
    <n v="300"/>
  </r>
  <r>
    <s v="E215"/>
    <s v="FILE"/>
    <x v="0"/>
    <x v="0"/>
    <x v="0"/>
    <s v="100 sacos de cimento para obra"/>
    <d v="2021-01-26T00:00:00"/>
    <s v="Luiz Tiago"/>
    <s v="Go Kitchen"/>
    <s v="Madalena"/>
    <n v="2950"/>
    <d v="2021-01-26T00:00:00"/>
    <s v="Crédito"/>
    <m/>
    <m/>
    <x v="50"/>
    <s v="Pago"/>
    <d v="2021-01-26T00:00:00"/>
    <x v="6"/>
    <n v="2950"/>
    <n v="0"/>
    <n v="2950"/>
  </r>
  <r>
    <s v="E216"/>
    <s v="FILE"/>
    <x v="1"/>
    <x v="2"/>
    <x v="5"/>
    <s v="100 sacos de cimento para obra"/>
    <d v="2021-01-26T00:00:00"/>
    <s v="Luiz Tiago"/>
    <s v="AMD Distribuidora"/>
    <s v="Madalena"/>
    <n v="2950"/>
    <d v="2021-01-26T00:00:00"/>
    <s v="Crédito"/>
    <m/>
    <m/>
    <x v="50"/>
    <s v="Pago"/>
    <d v="2021-01-26T00:00:00"/>
    <x v="6"/>
    <n v="-2950"/>
    <n v="0"/>
    <n v="2950"/>
  </r>
  <r>
    <s v="E217"/>
    <s v="FILE"/>
    <x v="0"/>
    <x v="0"/>
    <x v="0"/>
    <s v="CIM 1.2021"/>
    <d v="2021-01-30T00:00:00"/>
    <s v="Matheus"/>
    <s v="Go Kitchen"/>
    <s v="Madalena"/>
    <n v="423.86"/>
    <d v="2021-01-30T00:00:00"/>
    <s v="Boleto"/>
    <m/>
    <m/>
    <x v="51"/>
    <s v="Pago"/>
    <d v="2021-02-01T00:00:00"/>
    <x v="6"/>
    <n v="423.86"/>
    <n v="0"/>
    <n v="423.86"/>
  </r>
  <r>
    <s v="E218"/>
    <s v="FILE"/>
    <x v="1"/>
    <x v="3"/>
    <x v="12"/>
    <s v="CIM 2.2020"/>
    <d v="2021-01-30T00:00:00"/>
    <s v="Matheus"/>
    <s v="Prefeitura do Recife"/>
    <s v="Madalena"/>
    <n v="423.86"/>
    <d v="2021-01-30T00:00:00"/>
    <s v="Boleto"/>
    <m/>
    <m/>
    <x v="51"/>
    <s v="Pago"/>
    <d v="2021-02-01T00:00:00"/>
    <x v="6"/>
    <n v="-423.86"/>
    <n v="0"/>
    <n v="423.86"/>
  </r>
  <r>
    <s v="E219"/>
    <s v="FILE"/>
    <x v="0"/>
    <x v="0"/>
    <x v="0"/>
    <s v="26% do pagamento planejado para o dia 22/12 - Obra"/>
    <d v="2021-01-27T00:00:00"/>
    <s v="Matheus"/>
    <s v="Go Kitchen"/>
    <s v="Madalena"/>
    <n v="2812.77"/>
    <d v="2021-01-27T00:00:00"/>
    <s v="Transferência Bancária"/>
    <m/>
    <m/>
    <x v="52"/>
    <s v="Pago"/>
    <d v="2021-01-27T00:00:00"/>
    <x v="6"/>
    <n v="2812.77"/>
    <n v="0"/>
    <n v="2812.77"/>
  </r>
  <r>
    <s v="E220"/>
    <s v="FILE"/>
    <x v="1"/>
    <x v="2"/>
    <x v="3"/>
    <s v="26% do pagamento planejado para o dia 22/12 - Obra"/>
    <d v="2021-01-27T00:00:00"/>
    <s v="Matheus"/>
    <s v="CA Reformas"/>
    <s v="Madalena"/>
    <n v="2812.77"/>
    <d v="2021-01-27T00:00:00"/>
    <s v="Transferência Bancária"/>
    <m/>
    <m/>
    <x v="52"/>
    <s v="Pago"/>
    <d v="2021-01-27T00:00:00"/>
    <x v="6"/>
    <n v="-2812.77"/>
    <n v="0"/>
    <n v="2812.77"/>
  </r>
  <r>
    <s v="E221"/>
    <s v="FILE"/>
    <x v="0"/>
    <x v="0"/>
    <x v="0"/>
    <s v="37% do pagamento planejado para o dia 22/12 - Obra"/>
    <d v="2021-01-29T00:00:00"/>
    <s v="Bruno"/>
    <s v="Go Kitchen"/>
    <s v="Madalena"/>
    <n v="4000"/>
    <d v="2021-01-29T00:00:00"/>
    <s v="Transferência Bancária"/>
    <m/>
    <m/>
    <x v="53"/>
    <s v="Pago"/>
    <d v="2021-01-29T00:00:00"/>
    <x v="6"/>
    <n v="4000"/>
    <n v="0"/>
    <n v="4000"/>
  </r>
  <r>
    <s v="E222"/>
    <s v="FILE"/>
    <x v="1"/>
    <x v="2"/>
    <x v="3"/>
    <s v="37% do pagamento planejado para o dia 22/12 - Obra"/>
    <d v="2021-01-29T00:00:00"/>
    <s v="Bruno"/>
    <s v="CA Reformas"/>
    <s v="Madalena"/>
    <n v="4000"/>
    <d v="2021-01-29T00:00:00"/>
    <s v="Transferência Bancária"/>
    <m/>
    <m/>
    <x v="53"/>
    <s v="Pago"/>
    <d v="2021-01-29T00:00:00"/>
    <x v="6"/>
    <n v="-4000"/>
    <n v="0"/>
    <n v="4000"/>
  </r>
  <r>
    <s v="E223"/>
    <s v="FILE"/>
    <x v="0"/>
    <x v="0"/>
    <x v="0"/>
    <s v="26% do pagamento planejado para o dia 22/12 - Obra"/>
    <d v="2021-01-29T00:00:00"/>
    <s v="Luiz Tiago"/>
    <s v="Go Kitchen"/>
    <s v="Madalena"/>
    <n v="2812.77"/>
    <d v="2021-01-29T00:00:00"/>
    <s v="Transferência Bancária"/>
    <m/>
    <m/>
    <x v="53"/>
    <s v="Pago"/>
    <d v="2021-01-29T00:00:00"/>
    <x v="6"/>
    <n v="2812.77"/>
    <n v="0"/>
    <n v="2812.77"/>
  </r>
  <r>
    <s v="E224"/>
    <s v="FILE"/>
    <x v="1"/>
    <x v="2"/>
    <x v="3"/>
    <s v="26% do pagamento planejado para o dia 22/12 - Obra"/>
    <d v="2021-01-29T00:00:00"/>
    <s v="Luiz Tiago"/>
    <s v="CA Reformas"/>
    <s v="Madalena"/>
    <n v="2812.77"/>
    <d v="2021-01-29T00:00:00"/>
    <s v="Transferência Bancária"/>
    <m/>
    <m/>
    <x v="53"/>
    <s v="Pago"/>
    <d v="2021-01-29T00:00:00"/>
    <x v="6"/>
    <n v="-2812.77"/>
    <n v="0"/>
    <n v="2812.77"/>
  </r>
  <r>
    <s v="E225"/>
    <s v="FILE"/>
    <x v="0"/>
    <x v="0"/>
    <x v="0"/>
    <s v="12% do pagamento planejado para o dia 22/12 - Obra"/>
    <d v="2021-01-29T00:00:00"/>
    <s v="Bruno"/>
    <s v="Go Kitchen"/>
    <s v="Madalena"/>
    <n v="1328.7199999999993"/>
    <d v="2021-02-01T00:00:00"/>
    <s v="Transferência Bancária"/>
    <m/>
    <m/>
    <x v="54"/>
    <s v="Pago"/>
    <d v="2021-02-01T00:00:00"/>
    <x v="11"/>
    <n v="1328.7199999999993"/>
    <n v="0"/>
    <n v="1328.7199999999993"/>
  </r>
  <r>
    <s v="E226"/>
    <s v="FILE"/>
    <x v="1"/>
    <x v="2"/>
    <x v="5"/>
    <s v="12% do pagamento planejado para o dia 22/12 - Obra"/>
    <d v="2021-01-29T00:00:00"/>
    <s v="Bruno"/>
    <s v="CA Reformas"/>
    <s v="Madalena"/>
    <n v="1328.7199999999993"/>
    <d v="2021-02-01T00:00:00"/>
    <s v="Transferência Bancária"/>
    <m/>
    <m/>
    <x v="54"/>
    <s v="Pago"/>
    <d v="2021-02-01T00:00:00"/>
    <x v="11"/>
    <n v="-1328.7199999999993"/>
    <n v="0"/>
    <n v="1328.7199999999993"/>
  </r>
  <r>
    <s v="E227"/>
    <s v="FILE"/>
    <x v="0"/>
    <x v="0"/>
    <x v="0"/>
    <s v="50% do projeto eletrico"/>
    <d v="2021-02-03T00:00:00"/>
    <s v="Bruno"/>
    <s v="Go Kitchen"/>
    <s v="Madalena"/>
    <n v="1750"/>
    <d v="2021-02-03T00:00:00"/>
    <s v="Transferência Bancária"/>
    <m/>
    <m/>
    <x v="55"/>
    <s v="Pago"/>
    <d v="2021-02-03T00:00:00"/>
    <x v="11"/>
    <n v="1750"/>
    <n v="0"/>
    <n v="1750"/>
  </r>
  <r>
    <s v="E228"/>
    <s v="FILE"/>
    <x v="1"/>
    <x v="1"/>
    <x v="1"/>
    <s v="50% do projeto eletrico"/>
    <d v="2021-02-03T00:00:00"/>
    <s v="Bruno"/>
    <s v="BS Consultoria"/>
    <s v="Madalena"/>
    <n v="1750"/>
    <d v="2021-02-03T00:00:00"/>
    <s v="Transferência Bancária"/>
    <m/>
    <m/>
    <x v="55"/>
    <s v="Pago"/>
    <d v="2021-02-03T00:00:00"/>
    <x v="11"/>
    <n v="-1750"/>
    <n v="0"/>
    <n v="1750"/>
  </r>
  <r>
    <s v="E229"/>
    <s v="FILE"/>
    <x v="0"/>
    <x v="0"/>
    <x v="0"/>
    <s v="GRU Manifestação sobre Oposição - Nova petição por falha na primeira"/>
    <d v="2021-02-01T00:00:00"/>
    <s v="Bruno"/>
    <s v="Go Kitchen"/>
    <s v="Madalena"/>
    <n v="112"/>
    <d v="2021-02-01T00:00:00"/>
    <s v="Boleto"/>
    <m/>
    <m/>
    <x v="54"/>
    <s v="Pago"/>
    <d v="2021-02-01T00:00:00"/>
    <x v="11"/>
    <n v="112"/>
    <n v="0"/>
    <n v="112"/>
  </r>
  <r>
    <s v="E230"/>
    <s v="FILE"/>
    <x v="1"/>
    <x v="1"/>
    <x v="1"/>
    <s v="GRU Manifestação sobre Oposição - Nova petição por falha na primeira"/>
    <d v="2021-02-01T00:00:00"/>
    <s v="Bruno"/>
    <s v="INPI"/>
    <s v="Madalena"/>
    <n v="112"/>
    <d v="2021-02-01T00:00:00"/>
    <s v="Boleto"/>
    <m/>
    <m/>
    <x v="54"/>
    <s v="Pago"/>
    <d v="2021-02-01T00:00:00"/>
    <x v="11"/>
    <n v="-112"/>
    <n v="0"/>
    <n v="112"/>
  </r>
  <r>
    <s v="E231"/>
    <s v="FILE"/>
    <x v="0"/>
    <x v="0"/>
    <x v="0"/>
    <s v="28% do Pagamento da Semana 15/01/21 - Obra"/>
    <d v="2021-01-15T00:00:00"/>
    <s v="Matheus"/>
    <s v="Go Kitchen"/>
    <s v="Madalena"/>
    <n v="4367.6099999999997"/>
    <d v="2021-01-19T00:00:00"/>
    <s v="Transferência Bancária"/>
    <m/>
    <m/>
    <x v="49"/>
    <s v="Pago"/>
    <d v="2021-01-19T00:00:00"/>
    <x v="6"/>
    <n v="4367.6099999999997"/>
    <n v="0"/>
    <n v="4367.6099999999997"/>
  </r>
  <r>
    <s v="E232"/>
    <s v="FILE"/>
    <x v="1"/>
    <x v="2"/>
    <x v="5"/>
    <s v="28% do Pagamento da Semana 15/01/21 - Obra"/>
    <d v="2021-01-15T00:00:00"/>
    <s v="Matheus"/>
    <s v="CA Reformas"/>
    <s v="Madalena"/>
    <n v="4367.6099999999997"/>
    <d v="2021-01-19T00:00:00"/>
    <s v="Transferência Bancária"/>
    <m/>
    <m/>
    <x v="49"/>
    <s v="Pago"/>
    <d v="2021-01-19T00:00:00"/>
    <x v="6"/>
    <n v="-4367.6099999999997"/>
    <n v="0"/>
    <n v="4367.6099999999997"/>
  </r>
  <r>
    <s v="E233"/>
    <s v="FILE"/>
    <x v="0"/>
    <x v="0"/>
    <x v="0"/>
    <s v="44% do Pagamento da Semana 15/01 - Obra"/>
    <d v="2021-01-15T00:00:00"/>
    <s v="Bruno"/>
    <s v="Go Kitchen"/>
    <s v="Madalena"/>
    <n v="6795.29"/>
    <d v="2021-01-21T00:00:00"/>
    <s v="Transferência Bancária"/>
    <m/>
    <m/>
    <x v="56"/>
    <s v="Pago"/>
    <d v="2021-01-21T00:00:00"/>
    <x v="6"/>
    <n v="6795.29"/>
    <n v="0"/>
    <n v="6795.29"/>
  </r>
  <r>
    <s v="E234"/>
    <s v="FILE"/>
    <x v="1"/>
    <x v="2"/>
    <x v="5"/>
    <s v="44% do Pagamento da Semana 15/01 - Obra"/>
    <d v="2021-01-15T00:00:00"/>
    <s v="Bruno"/>
    <s v="CA Reformas"/>
    <s v="Madalena"/>
    <n v="6795.29"/>
    <d v="2021-01-21T00:00:00"/>
    <s v="Transferência Bancária"/>
    <m/>
    <m/>
    <x v="56"/>
    <s v="Pago"/>
    <d v="2021-01-21T00:00:00"/>
    <x v="6"/>
    <n v="-6795.29"/>
    <n v="0"/>
    <n v="6795.29"/>
  </r>
  <r>
    <s v="E235"/>
    <s v="FILE"/>
    <x v="0"/>
    <x v="0"/>
    <x v="0"/>
    <s v="Semana 1 - Etapa 3"/>
    <d v="2021-02-09T00:00:00"/>
    <s v="Luiz Tiago"/>
    <s v="Go Kitchen"/>
    <s v="Madalena"/>
    <n v="13232.21"/>
    <d v="2021-02-09T00:00:00"/>
    <s v="Transferência Bancária"/>
    <m/>
    <m/>
    <x v="57"/>
    <s v="Pago"/>
    <d v="2021-02-09T00:00:00"/>
    <x v="11"/>
    <n v="13232.21"/>
    <n v="0"/>
    <n v="13232.21"/>
  </r>
  <r>
    <s v="E236"/>
    <s v="FILE"/>
    <x v="1"/>
    <x v="2"/>
    <x v="5"/>
    <s v="Semana 1 - Etapa 3"/>
    <d v="2021-02-09T00:00:00"/>
    <s v="Luiz Tiago"/>
    <s v="CA Reformas"/>
    <s v="Madalena"/>
    <n v="13232.21"/>
    <d v="2021-02-09T00:00:00"/>
    <s v="Transferência Bancária"/>
    <m/>
    <m/>
    <x v="57"/>
    <s v="Pago"/>
    <d v="2021-02-09T00:00:00"/>
    <x v="11"/>
    <n v="-13232.21"/>
    <n v="0"/>
    <n v="13232.21"/>
  </r>
  <r>
    <s v="E237"/>
    <s v="FILE"/>
    <x v="0"/>
    <x v="0"/>
    <x v="0"/>
    <s v="Semana 1 - Etapa 3"/>
    <d v="2021-02-08T00:00:00"/>
    <s v="Matheus"/>
    <s v="Go Kitchen"/>
    <s v="Madalena"/>
    <n v="12500"/>
    <d v="2021-02-08T00:00:00"/>
    <s v="Transferência Bancária"/>
    <m/>
    <m/>
    <x v="58"/>
    <s v="Pago"/>
    <d v="2021-02-08T00:00:00"/>
    <x v="11"/>
    <n v="12500"/>
    <n v="0"/>
    <n v="12500"/>
  </r>
  <r>
    <s v="E238"/>
    <s v="FILE"/>
    <x v="1"/>
    <x v="2"/>
    <x v="3"/>
    <s v="Semana 1 - Etapa 3"/>
    <d v="2021-02-08T00:00:00"/>
    <s v="Matheus"/>
    <s v="CA Reformas"/>
    <s v="Madalena"/>
    <n v="12500"/>
    <d v="2021-02-08T00:00:00"/>
    <s v="Transferência Bancária"/>
    <m/>
    <m/>
    <x v="58"/>
    <s v="Pago"/>
    <d v="2021-02-08T00:00:00"/>
    <x v="11"/>
    <n v="-12500"/>
    <n v="0"/>
    <n v="12500"/>
  </r>
  <r>
    <s v="E239"/>
    <s v="FILE"/>
    <x v="0"/>
    <x v="0"/>
    <x v="0"/>
    <s v="Semana 1 - Etapa 3"/>
    <d v="2021-02-11T00:00:00"/>
    <s v="Bruno"/>
    <s v="Go Kitchen"/>
    <s v="Madalena"/>
    <n v="10000"/>
    <d v="2021-02-11T00:00:00"/>
    <s v="Transferência Bancária"/>
    <m/>
    <m/>
    <x v="59"/>
    <s v="Pago"/>
    <d v="2021-02-11T00:00:00"/>
    <x v="11"/>
    <n v="10000"/>
    <n v="0"/>
    <n v="10000"/>
  </r>
  <r>
    <s v="E240"/>
    <s v="FILE"/>
    <x v="1"/>
    <x v="2"/>
    <x v="5"/>
    <s v="Semana 1 - Etapa 3"/>
    <d v="2021-02-11T00:00:00"/>
    <s v="Bruno"/>
    <s v="CA Reformas"/>
    <s v="Madalena"/>
    <n v="10000"/>
    <d v="2021-02-11T00:00:00"/>
    <s v="Transferência Bancária"/>
    <m/>
    <m/>
    <x v="59"/>
    <s v="Pago"/>
    <d v="2021-02-11T00:00:00"/>
    <x v="11"/>
    <n v="-10000"/>
    <n v="0"/>
    <n v="10000"/>
  </r>
  <r>
    <s v="E241"/>
    <s v="FILE"/>
    <x v="0"/>
    <x v="0"/>
    <x v="0"/>
    <s v="Semana 1 - Etapa 3"/>
    <d v="2021-02-12T00:00:00"/>
    <s v="Bruno"/>
    <s v="Go Kitchen"/>
    <s v="Madalena"/>
    <n v="6464.42"/>
    <d v="2021-02-12T00:00:00"/>
    <s v="Transferência Bancária"/>
    <m/>
    <m/>
    <x v="60"/>
    <s v="Pago"/>
    <d v="2021-02-12T00:00:00"/>
    <x v="11"/>
    <n v="6464.42"/>
    <n v="0"/>
    <n v="6464.42"/>
  </r>
  <r>
    <s v="E242"/>
    <s v="FILE"/>
    <x v="1"/>
    <x v="2"/>
    <x v="3"/>
    <s v="Semana 1 - Etapa 3"/>
    <d v="2021-02-12T00:00:00"/>
    <s v="Bruno"/>
    <s v="CA Reformas"/>
    <s v="Madalena"/>
    <n v="6464.42"/>
    <d v="2021-02-12T00:00:00"/>
    <s v="Transferência Bancária"/>
    <m/>
    <m/>
    <x v="60"/>
    <s v="Pago"/>
    <d v="2021-02-12T00:00:00"/>
    <x v="11"/>
    <n v="-6464.42"/>
    <n v="0"/>
    <n v="6464.42"/>
  </r>
  <r>
    <s v="E243"/>
    <s v="FILE"/>
    <x v="0"/>
    <x v="0"/>
    <x v="0"/>
    <s v="Semana 1 - Etapa 3 Parte 2"/>
    <d v="2021-02-18T00:00:00"/>
    <s v="Bruno"/>
    <s v="Go Kitchen"/>
    <s v="Madalena"/>
    <n v="10000"/>
    <d v="2021-02-18T00:00:00"/>
    <s v="Transferência Bancária"/>
    <m/>
    <m/>
    <x v="61"/>
    <s v="Pago"/>
    <d v="2021-02-18T00:00:00"/>
    <x v="11"/>
    <n v="10000"/>
    <n v="0"/>
    <n v="10000"/>
  </r>
  <r>
    <s v="E244"/>
    <s v="FILE"/>
    <x v="1"/>
    <x v="2"/>
    <x v="5"/>
    <s v="Semana 1 - Etapa 3 Parte 2"/>
    <d v="2021-02-18T00:00:00"/>
    <s v="Bruno"/>
    <s v="CA Reformas"/>
    <s v="Madalena"/>
    <n v="10000"/>
    <d v="2021-02-18T00:00:00"/>
    <s v="Transferência Bancária"/>
    <m/>
    <m/>
    <x v="61"/>
    <s v="Pago"/>
    <d v="2021-02-18T00:00:00"/>
    <x v="11"/>
    <n v="-10000"/>
    <n v="0"/>
    <n v="10000"/>
  </r>
  <r>
    <s v="E245"/>
    <s v="FILE"/>
    <x v="0"/>
    <x v="0"/>
    <x v="0"/>
    <s v="Semana 2 - Etapa 3"/>
    <d v="2021-02-26T00:00:00"/>
    <s v="Matheus"/>
    <s v="Go Kitchen"/>
    <s v="Madalena"/>
    <n v="5819.25"/>
    <d v="2021-02-26T00:00:00"/>
    <s v="Transferência Bancária"/>
    <m/>
    <m/>
    <x v="62"/>
    <s v="Pago"/>
    <d v="2021-02-26T00:00:00"/>
    <x v="11"/>
    <n v="5819.25"/>
    <n v="0"/>
    <n v="5819.25"/>
  </r>
  <r>
    <s v="E246"/>
    <s v="FILE"/>
    <x v="1"/>
    <x v="2"/>
    <x v="3"/>
    <s v="Semana 2 - Etapa 3"/>
    <d v="2021-02-26T00:00:00"/>
    <s v="Matheus"/>
    <s v="CA Reformas"/>
    <s v="Madalena"/>
    <n v="5819.25"/>
    <d v="2021-02-26T00:00:00"/>
    <s v="Transferência Bancária"/>
    <m/>
    <m/>
    <x v="62"/>
    <s v="Pago"/>
    <d v="2021-02-26T00:00:00"/>
    <x v="11"/>
    <n v="-5819.25"/>
    <n v="0"/>
    <n v="5819.25"/>
  </r>
  <r>
    <s v="E247"/>
    <s v="FILE"/>
    <x v="0"/>
    <x v="0"/>
    <x v="0"/>
    <s v="Semana 2 - Etapa 3"/>
    <d v="2021-03-01T00:00:00"/>
    <s v="Luiz Tiago"/>
    <s v="Go Kitchen"/>
    <s v="Madalena"/>
    <n v="5819.25"/>
    <d v="2021-03-01T00:00:00"/>
    <s v="Transferência Bancária"/>
    <m/>
    <m/>
    <x v="63"/>
    <s v="Pago"/>
    <d v="2021-03-01T00:00:00"/>
    <x v="7"/>
    <n v="5819.25"/>
    <n v="0"/>
    <n v="5819.25"/>
  </r>
  <r>
    <s v="E248"/>
    <s v="FILE"/>
    <x v="1"/>
    <x v="2"/>
    <x v="3"/>
    <s v="Semana 2 - Etapa 3"/>
    <d v="2021-03-01T00:00:00"/>
    <s v="Luiz Tiago"/>
    <s v="CA Reformas"/>
    <s v="Madalena"/>
    <n v="5819.25"/>
    <d v="2021-03-01T00:00:00"/>
    <s v="Transferência Bancária"/>
    <m/>
    <m/>
    <x v="63"/>
    <s v="Pago"/>
    <d v="2021-03-01T00:00:00"/>
    <x v="7"/>
    <n v="-5819.25"/>
    <n v="0"/>
    <n v="5819.25"/>
  </r>
  <r>
    <s v="E249"/>
    <s v="FILE"/>
    <x v="0"/>
    <x v="0"/>
    <x v="0"/>
    <s v="Semana 2 - Etapa 3"/>
    <d v="2021-03-01T00:00:00"/>
    <s v="Bruno"/>
    <s v="Go Kitchen"/>
    <s v="Madalena"/>
    <n v="10000"/>
    <d v="2021-03-01T00:00:00"/>
    <s v="Transferência Bancária"/>
    <m/>
    <m/>
    <x v="63"/>
    <s v="Pago"/>
    <d v="2021-03-01T00:00:00"/>
    <x v="7"/>
    <n v="10000"/>
    <n v="0"/>
    <n v="10000"/>
  </r>
  <r>
    <s v="E250"/>
    <s v="FILE"/>
    <x v="1"/>
    <x v="2"/>
    <x v="5"/>
    <s v="Semana 2 - Etapa 3"/>
    <d v="2021-03-01T00:00:00"/>
    <s v="Bruno"/>
    <s v="CA Reformas"/>
    <s v="Madalena"/>
    <n v="10000"/>
    <d v="2021-03-01T00:00:00"/>
    <s v="Transferência Bancária"/>
    <m/>
    <m/>
    <x v="63"/>
    <s v="Pago"/>
    <d v="2021-03-01T00:00:00"/>
    <x v="7"/>
    <n v="-10000"/>
    <n v="0"/>
    <n v="10000"/>
  </r>
  <r>
    <s v="E251"/>
    <s v="FILE"/>
    <x v="0"/>
    <x v="0"/>
    <x v="0"/>
    <s v="Mensalidade 2 de 12 ano 1 - Alarme"/>
    <d v="2021-02-03T00:00:00"/>
    <s v="Bruno"/>
    <s v="Go Kitchen"/>
    <s v="Madalena"/>
    <n v="190"/>
    <d v="2021-02-03T00:00:00"/>
    <s v="Boleto"/>
    <m/>
    <m/>
    <x v="55"/>
    <s v="Pago"/>
    <d v="2021-02-03T00:00:00"/>
    <x v="11"/>
    <n v="190"/>
    <n v="0"/>
    <n v="190"/>
  </r>
  <r>
    <s v="E252"/>
    <s v="FILE"/>
    <x v="0"/>
    <x v="0"/>
    <x v="0"/>
    <s v="Mensalidade 3 de 12 ano 1 - Alarme"/>
    <d v="2021-02-03T00:00:00"/>
    <s v="Bruno"/>
    <s v="Go Kitchen"/>
    <s v="Madalena"/>
    <n v="190"/>
    <d v="2021-02-03T00:00:00"/>
    <s v="Boleto"/>
    <m/>
    <m/>
    <x v="55"/>
    <s v="Pago"/>
    <d v="2021-02-03T00:00:00"/>
    <x v="11"/>
    <n v="190"/>
    <n v="0"/>
    <n v="190"/>
  </r>
  <r>
    <s v="E253"/>
    <s v="FILE"/>
    <x v="0"/>
    <x v="0"/>
    <x v="0"/>
    <s v="Juros Mensalidade 2 de 12 ano 1 - Alarme"/>
    <d v="2021-02-03T00:00:00"/>
    <s v="Bruno"/>
    <s v="Go Kitchen"/>
    <s v="Madalena"/>
    <n v="20.81"/>
    <d v="2021-02-03T00:00:00"/>
    <s v="Boleto"/>
    <m/>
    <m/>
    <x v="55"/>
    <s v="Pago"/>
    <d v="2021-02-03T00:00:00"/>
    <x v="11"/>
    <n v="20.81"/>
    <n v="0"/>
    <n v="20.81"/>
  </r>
  <r>
    <s v="E254"/>
    <s v="FILE"/>
    <x v="1"/>
    <x v="8"/>
    <x v="11"/>
    <s v="Juros Mensalidade 2 de 12 ano 1 - Alarme - Grupo Seg"/>
    <d v="2021-02-03T00:00:00"/>
    <s v="Bruno"/>
    <s v="Grupo SEG"/>
    <s v="Madalena"/>
    <n v="20.81"/>
    <d v="2021-02-03T00:00:00"/>
    <s v="Boleto"/>
    <m/>
    <m/>
    <x v="55"/>
    <s v="Pago"/>
    <d v="2021-02-03T00:00:00"/>
    <x v="11"/>
    <n v="-20.81"/>
    <n v="0"/>
    <n v="20.81"/>
  </r>
  <r>
    <s v="E255"/>
    <s v="FILE"/>
    <x v="0"/>
    <x v="0"/>
    <x v="0"/>
    <s v="Compesa Dezembro 2020"/>
    <d v="2021-03-02T00:00:00"/>
    <s v="Bruno"/>
    <s v="Go Kitchen"/>
    <s v="Madalena"/>
    <n v="296.73"/>
    <d v="2021-03-02T00:00:00"/>
    <s v="Boleto"/>
    <m/>
    <m/>
    <x v="64"/>
    <s v="Pago"/>
    <d v="2021-03-02T00:00:00"/>
    <x v="7"/>
    <n v="296.73"/>
    <n v="0"/>
    <n v="296.73"/>
  </r>
  <r>
    <s v="E256"/>
    <s v="FILE"/>
    <x v="1"/>
    <x v="4"/>
    <x v="7"/>
    <s v="Compesa Dezembro 2020"/>
    <d v="2021-03-02T00:00:00"/>
    <s v="Bruno"/>
    <s v="COMPESA"/>
    <s v="Madalena"/>
    <n v="296.73"/>
    <d v="2021-03-02T00:00:00"/>
    <s v="Boleto"/>
    <m/>
    <m/>
    <x v="64"/>
    <s v="Pago"/>
    <d v="2021-03-02T00:00:00"/>
    <x v="7"/>
    <n v="-296.73"/>
    <n v="0"/>
    <n v="296.73"/>
  </r>
  <r>
    <s v="E257"/>
    <s v="FILE"/>
    <x v="1"/>
    <x v="2"/>
    <x v="5"/>
    <s v="460m² de piso 1ª Parte"/>
    <d v="2021-03-11T00:00:00"/>
    <s v="Bruno"/>
    <s v="Ferreira Costa"/>
    <s v="Madalena"/>
    <n v="5899"/>
    <d v="2021-03-11T00:00:00"/>
    <s v="Crédito"/>
    <m/>
    <m/>
    <x v="65"/>
    <s v="Pago"/>
    <d v="2021-03-11T00:00:00"/>
    <x v="7"/>
    <n v="-5899"/>
    <n v="0"/>
    <n v="5899"/>
  </r>
  <r>
    <s v="E258"/>
    <s v="FILE"/>
    <x v="1"/>
    <x v="2"/>
    <x v="5"/>
    <s v="460m² de piso 2ª Parte"/>
    <d v="2021-03-11T00:00:00"/>
    <s v="Matheus"/>
    <s v="Ferreira Costa"/>
    <s v="Madalena"/>
    <n v="5500"/>
    <d v="2021-03-11T00:00:00"/>
    <s v="Débito"/>
    <m/>
    <m/>
    <x v="65"/>
    <s v="Pago"/>
    <d v="2021-03-11T00:00:00"/>
    <x v="7"/>
    <n v="-5500"/>
    <n v="0"/>
    <n v="5500"/>
  </r>
  <r>
    <s v="E259"/>
    <s v="FILE"/>
    <x v="0"/>
    <x v="0"/>
    <x v="0"/>
    <s v="460m² de piso 1ª Parte"/>
    <d v="2021-03-11T00:00:00"/>
    <s v="Bruno"/>
    <s v="Go Kitchen"/>
    <s v="Madalena"/>
    <n v="5899"/>
    <d v="2021-03-11T00:00:00"/>
    <s v="Crédito"/>
    <m/>
    <m/>
    <x v="65"/>
    <s v="Pago"/>
    <d v="2021-03-11T00:00:00"/>
    <x v="7"/>
    <n v="5899"/>
    <n v="0"/>
    <n v="5899"/>
  </r>
  <r>
    <s v="E260"/>
    <s v="FILE"/>
    <x v="0"/>
    <x v="0"/>
    <x v="0"/>
    <s v="460m² de piso 2ª Parte"/>
    <d v="2021-03-11T00:00:00"/>
    <s v="Matheus"/>
    <s v="Go Kitchen"/>
    <s v="Madalena"/>
    <n v="5500"/>
    <d v="2021-03-11T00:00:00"/>
    <s v="Débito"/>
    <m/>
    <m/>
    <x v="65"/>
    <s v="Pago"/>
    <d v="2021-03-11T00:00:00"/>
    <x v="7"/>
    <n v="5500"/>
    <n v="0"/>
    <n v="5500"/>
  </r>
  <r>
    <s v="E261"/>
    <s v="FILE"/>
    <x v="0"/>
    <x v="0"/>
    <x v="0"/>
    <s v="IPTU 1.2021"/>
    <d v="2021-02-10T00:00:00"/>
    <s v="Bruno"/>
    <s v="Go Kitchen"/>
    <s v="Madalena"/>
    <n v="976.03"/>
    <d v="2021-02-10T00:00:00"/>
    <s v="Boleto"/>
    <m/>
    <m/>
    <x v="66"/>
    <s v="Pago"/>
    <d v="2021-02-10T00:00:00"/>
    <x v="11"/>
    <n v="976.03"/>
    <n v="0"/>
    <n v="976.03"/>
  </r>
  <r>
    <s v="E262"/>
    <s v="FILE"/>
    <x v="1"/>
    <x v="3"/>
    <x v="4"/>
    <s v="IPTU 1.2021"/>
    <d v="2021-02-10T00:00:00"/>
    <s v="Bruno"/>
    <s v="Prefeitura do Recife"/>
    <s v="Madalena"/>
    <n v="976.03"/>
    <d v="2021-02-10T00:00:00"/>
    <s v="Boleto"/>
    <m/>
    <m/>
    <x v="66"/>
    <s v="Pago"/>
    <d v="2021-02-10T00:00:00"/>
    <x v="11"/>
    <n v="-976.03"/>
    <n v="0"/>
    <n v="976.03"/>
  </r>
  <r>
    <s v="E263"/>
    <s v="FILE"/>
    <x v="0"/>
    <x v="0"/>
    <x v="0"/>
    <s v="IPTU 2.2021"/>
    <d v="2021-03-10T00:00:00"/>
    <s v="Bruno"/>
    <s v="Go Kitchen"/>
    <s v="Madalena"/>
    <n v="976.03"/>
    <d v="2021-03-10T00:00:00"/>
    <s v="Boleto"/>
    <m/>
    <m/>
    <x v="67"/>
    <s v="Pago"/>
    <d v="2021-03-10T00:00:00"/>
    <x v="7"/>
    <n v="976.03"/>
    <n v="0"/>
    <n v="976.03"/>
  </r>
  <r>
    <s v="E264"/>
    <s v="FILE"/>
    <x v="1"/>
    <x v="3"/>
    <x v="4"/>
    <s v="IPTU 2.2021"/>
    <d v="2021-03-10T00:00:00"/>
    <s v="Bruno"/>
    <s v="Prefeitura do Recife"/>
    <s v="Madalena"/>
    <n v="976.03"/>
    <d v="2021-03-10T00:00:00"/>
    <s v="Boleto"/>
    <m/>
    <m/>
    <x v="67"/>
    <s v="Pago"/>
    <d v="2021-03-10T00:00:00"/>
    <x v="7"/>
    <n v="-976.03"/>
    <n v="0"/>
    <n v="976.03"/>
  </r>
  <r>
    <s v="E265"/>
    <s v="FILE"/>
    <x v="1"/>
    <x v="2"/>
    <x v="3"/>
    <s v="Semana 3 - Etapa 3"/>
    <d v="2021-03-17T00:00:00"/>
    <s v="Luiz Tiago"/>
    <s v="CA Reformas"/>
    <s v="Madalena"/>
    <n v="6027.34"/>
    <d v="2021-03-17T00:00:00"/>
    <s v="Transferência Bancária"/>
    <m/>
    <m/>
    <x v="68"/>
    <s v="Pago"/>
    <d v="2021-03-17T00:00:00"/>
    <x v="7"/>
    <n v="-6027.34"/>
    <n v="0"/>
    <n v="6027.34"/>
  </r>
  <r>
    <s v="E266"/>
    <s v="FILE"/>
    <x v="0"/>
    <x v="0"/>
    <x v="0"/>
    <s v="Semana 3 - Etapa 3"/>
    <d v="2021-03-17T00:00:00"/>
    <s v="Luiz Tiago"/>
    <s v="Go Kitchen"/>
    <s v="Madalena"/>
    <n v="6027.34"/>
    <d v="2021-03-17T00:00:00"/>
    <s v="Transferência Bancária"/>
    <m/>
    <m/>
    <x v="68"/>
    <s v="Pago"/>
    <d v="2021-03-17T00:00:00"/>
    <x v="7"/>
    <n v="6027.34"/>
    <n v="0"/>
    <n v="6027.34"/>
  </r>
  <r>
    <s v="E267"/>
    <s v="FILE"/>
    <x v="1"/>
    <x v="2"/>
    <x v="3"/>
    <s v="Semana 3 - Etapa 3"/>
    <d v="2021-03-15T00:00:00"/>
    <s v="Bruno"/>
    <s v="CA Reformas"/>
    <s v="Madalena"/>
    <n v="1325"/>
    <d v="2021-03-15T00:00:00"/>
    <s v="Transferência Bancária"/>
    <m/>
    <m/>
    <x v="69"/>
    <s v="Pago"/>
    <d v="2021-03-15T00:00:00"/>
    <x v="7"/>
    <n v="-1325"/>
    <n v="0"/>
    <n v="1325"/>
  </r>
  <r>
    <s v="E268"/>
    <s v="FILE"/>
    <x v="0"/>
    <x v="0"/>
    <x v="0"/>
    <s v="Semana 3 - Etapa 3"/>
    <d v="2021-03-15T00:00:00"/>
    <s v="Bruno"/>
    <s v="Go Kitchen"/>
    <s v="Madalena"/>
    <n v="1325"/>
    <d v="2021-03-15T00:00:00"/>
    <s v="Transferência Bancária"/>
    <m/>
    <m/>
    <x v="69"/>
    <s v="Pago"/>
    <d v="2021-03-15T00:00:00"/>
    <x v="7"/>
    <n v="1325"/>
    <n v="0"/>
    <n v="1325"/>
  </r>
  <r>
    <s v="E269"/>
    <s v="FILE"/>
    <x v="1"/>
    <x v="2"/>
    <x v="3"/>
    <s v="Semana 3 - Etapa 3"/>
    <d v="2021-03-15T00:00:00"/>
    <s v="Bruno"/>
    <s v="CA Reformas"/>
    <s v="Madalena"/>
    <n v="10000"/>
    <d v="2021-03-15T00:00:00"/>
    <s v="Transferência Bancária"/>
    <m/>
    <m/>
    <x v="69"/>
    <s v="Pago"/>
    <d v="2021-03-15T00:00:00"/>
    <x v="7"/>
    <n v="-10000"/>
    <n v="0"/>
    <n v="10000"/>
  </r>
  <r>
    <s v="E270"/>
    <s v="FILE"/>
    <x v="0"/>
    <x v="0"/>
    <x v="0"/>
    <s v="Semana 3 - Etapa 3"/>
    <d v="2021-03-15T00:00:00"/>
    <s v="Bruno"/>
    <s v="Go Kitchen"/>
    <s v="Madalena"/>
    <n v="10000"/>
    <d v="2021-03-15T00:00:00"/>
    <s v="Transferência Bancária"/>
    <m/>
    <m/>
    <x v="69"/>
    <s v="Pago"/>
    <d v="2021-03-15T00:00:00"/>
    <x v="7"/>
    <n v="10000"/>
    <n v="0"/>
    <n v="10000"/>
  </r>
  <r>
    <s v="E271"/>
    <s v="FILE"/>
    <x v="1"/>
    <x v="2"/>
    <x v="5"/>
    <s v="Semana 3 - Etapa 3"/>
    <d v="2021-03-15T00:00:00"/>
    <s v="Matheus"/>
    <s v="CA Reformas"/>
    <s v="Madalena"/>
    <n v="6027.34"/>
    <d v="2021-03-15T00:00:00"/>
    <s v="Transferência Bancária"/>
    <m/>
    <m/>
    <x v="69"/>
    <s v="Pago"/>
    <d v="2021-03-15T00:00:00"/>
    <x v="7"/>
    <n v="-6027.34"/>
    <n v="0"/>
    <n v="6027.34"/>
  </r>
  <r>
    <s v="E272"/>
    <s v="FILE"/>
    <x v="0"/>
    <x v="0"/>
    <x v="0"/>
    <s v="Semana 3 - Etapa 3"/>
    <d v="2021-03-15T00:00:00"/>
    <s v="Matheus"/>
    <s v="Go Kitchen"/>
    <s v="Madalena"/>
    <n v="6027.34"/>
    <d v="2021-03-15T00:00:00"/>
    <s v="Transferência Bancária"/>
    <m/>
    <m/>
    <x v="69"/>
    <s v="Pago"/>
    <d v="2021-03-15T00:00:00"/>
    <x v="7"/>
    <n v="6027.34"/>
    <n v="0"/>
    <n v="6027.34"/>
  </r>
  <r>
    <s v="E273"/>
    <s v="FILE"/>
    <x v="2"/>
    <x v="6"/>
    <x v="9"/>
    <s v="50% da entrada de Ivson e Teichi"/>
    <d v="2021-03-24T00:00:00"/>
    <s v="U1C10"/>
    <s v="Go Kitchen"/>
    <s v="Madalena"/>
    <n v="3000"/>
    <d v="2021-03-24T00:00:00"/>
    <s v="Transferência Bancária"/>
    <m/>
    <m/>
    <x v="70"/>
    <s v="Pago"/>
    <d v="2021-03-24T00:00:00"/>
    <x v="7"/>
    <n v="3000"/>
    <n v="0"/>
    <n v="3000"/>
  </r>
  <r>
    <s v="E274"/>
    <s v="FILE"/>
    <x v="1"/>
    <x v="2"/>
    <x v="3"/>
    <s v="25% Semana 4 parte 3"/>
    <d v="2021-03-24T00:00:00"/>
    <s v="Luiz Tiago"/>
    <s v="CA Reformas"/>
    <s v="Madalena"/>
    <n v="5099.37"/>
    <d v="2021-03-24T00:00:00"/>
    <s v="Transferência Bancária"/>
    <m/>
    <m/>
    <x v="70"/>
    <s v="Pago"/>
    <d v="2021-03-24T00:00:00"/>
    <x v="7"/>
    <n v="-5099.37"/>
    <n v="0"/>
    <n v="5099.37"/>
  </r>
  <r>
    <s v="E275"/>
    <s v="FILE"/>
    <x v="0"/>
    <x v="0"/>
    <x v="0"/>
    <s v="25% Semana 4 parte 3"/>
    <d v="2021-03-24T00:00:00"/>
    <s v="Luiz Tiago"/>
    <s v="Go Kitchen"/>
    <s v="Madalena"/>
    <n v="5099.37"/>
    <d v="2021-03-24T00:00:00"/>
    <s v="Transferência Bancária"/>
    <m/>
    <m/>
    <x v="70"/>
    <s v="Pago"/>
    <d v="2021-03-24T00:00:00"/>
    <x v="7"/>
    <n v="5099.37"/>
    <n v="0"/>
    <n v="5099.37"/>
  </r>
  <r>
    <s v="E276"/>
    <s v="FILE"/>
    <x v="1"/>
    <x v="2"/>
    <x v="3"/>
    <s v="25% Semana 4 parte 3"/>
    <d v="2021-03-24T00:00:00"/>
    <s v="Matheus"/>
    <s v="CA Reformas"/>
    <s v="Madalena"/>
    <n v="5099.37"/>
    <d v="2021-03-24T00:00:00"/>
    <s v="Transferência Bancária"/>
    <m/>
    <m/>
    <x v="70"/>
    <s v="Pago"/>
    <d v="2021-03-24T00:00:00"/>
    <x v="7"/>
    <n v="-5099.37"/>
    <n v="0"/>
    <n v="5099.37"/>
  </r>
  <r>
    <s v="E277"/>
    <s v="FILE"/>
    <x v="0"/>
    <x v="0"/>
    <x v="0"/>
    <s v="25% Semana 4 parte 3"/>
    <d v="2021-03-24T00:00:00"/>
    <s v="Matheus"/>
    <s v="Go Kitchen"/>
    <s v="Madalena"/>
    <n v="5099.37"/>
    <d v="2021-03-24T00:00:00"/>
    <s v="Transferência Bancária"/>
    <m/>
    <m/>
    <x v="70"/>
    <s v="Pago"/>
    <d v="2021-03-24T00:00:00"/>
    <x v="7"/>
    <n v="5099.37"/>
    <n v="0"/>
    <n v="5099.37"/>
  </r>
  <r>
    <s v="E278"/>
    <s v="FILE"/>
    <x v="1"/>
    <x v="2"/>
    <x v="3"/>
    <s v="50% Semana 4 parte 3"/>
    <d v="2021-03-26T00:00:00"/>
    <s v="Bruno"/>
    <s v="CA Reformas"/>
    <s v="Madalena"/>
    <n v="10000"/>
    <d v="2021-03-24T00:00:00"/>
    <s v="Transferência Bancária"/>
    <m/>
    <m/>
    <x v="71"/>
    <s v="Pago"/>
    <d v="2021-03-24T00:00:00"/>
    <x v="7"/>
    <n v="-10000"/>
    <n v="0"/>
    <n v="10000"/>
  </r>
  <r>
    <s v="E279"/>
    <s v="FILE"/>
    <x v="0"/>
    <x v="0"/>
    <x v="0"/>
    <s v="50% Semana 4 parte 3"/>
    <d v="2021-03-26T00:00:00"/>
    <s v="Bruno"/>
    <s v="Go Kitchen"/>
    <s v="Madalena"/>
    <n v="10000"/>
    <d v="2021-03-24T00:00:00"/>
    <s v="Transferência Bancária"/>
    <m/>
    <m/>
    <x v="71"/>
    <s v="Pago"/>
    <d v="2021-03-24T00:00:00"/>
    <x v="7"/>
    <n v="10000"/>
    <n v="0"/>
    <n v="10000"/>
  </r>
  <r>
    <s v="E280"/>
    <s v="FILE"/>
    <x v="1"/>
    <x v="2"/>
    <x v="3"/>
    <s v="Etapa 5 parte 3"/>
    <d v="2021-04-05T00:00:00"/>
    <s v="Go Kitchen"/>
    <s v="CA Reformas"/>
    <s v="Madalena"/>
    <n v="3000"/>
    <d v="2021-04-05T00:00:00"/>
    <s v="Transferência Bancária"/>
    <m/>
    <m/>
    <x v="72"/>
    <s v="Pago"/>
    <d v="2021-04-05T00:00:00"/>
    <x v="8"/>
    <n v="-3000"/>
    <n v="0"/>
    <n v="3000"/>
  </r>
  <r>
    <s v="E281"/>
    <s v="FILE"/>
    <x v="0"/>
    <x v="0"/>
    <x v="0"/>
    <s v="Etapa 5 parte 3"/>
    <d v="2021-04-05T00:00:00"/>
    <s v="Bruno"/>
    <s v="Go Kitchen"/>
    <s v="Madalena"/>
    <n v="1757.9"/>
    <d v="2021-04-05T00:00:00"/>
    <s v="Transferência Bancária"/>
    <m/>
    <m/>
    <x v="72"/>
    <s v="Pago"/>
    <d v="2021-04-05T00:00:00"/>
    <x v="8"/>
    <n v="1757.9"/>
    <n v="0"/>
    <n v="1757.9"/>
  </r>
  <r>
    <s v="E282"/>
    <s v="FILE"/>
    <x v="1"/>
    <x v="2"/>
    <x v="3"/>
    <s v="Etapa 5 parte 3"/>
    <d v="2021-04-05T00:00:00"/>
    <s v="Bruno"/>
    <s v="CA Reformas"/>
    <s v="Madalena"/>
    <n v="1757.9"/>
    <d v="2021-04-05T00:00:00"/>
    <s v="Transferência Bancária"/>
    <m/>
    <m/>
    <x v="72"/>
    <s v="Pago"/>
    <d v="2021-04-05T00:00:00"/>
    <x v="8"/>
    <n v="-1757.9"/>
    <n v="0"/>
    <n v="1757.9"/>
  </r>
  <r>
    <s v="E283"/>
    <s v="FILE"/>
    <x v="0"/>
    <x v="0"/>
    <x v="0"/>
    <s v="Etapa 5 parte 3"/>
    <d v="2021-04-01T00:00:00"/>
    <s v="Luiz Tiago"/>
    <s v="Go Kitchen"/>
    <s v="Madalena"/>
    <n v="2378.9499999999998"/>
    <d v="2021-04-01T00:00:00"/>
    <s v="Transferência Bancária"/>
    <m/>
    <m/>
    <x v="73"/>
    <s v="Pago"/>
    <d v="2021-04-01T00:00:00"/>
    <x v="8"/>
    <n v="2378.9499999999998"/>
    <n v="0"/>
    <n v="2378.9499999999998"/>
  </r>
  <r>
    <s v="E284"/>
    <s v="FILE"/>
    <x v="1"/>
    <x v="2"/>
    <x v="3"/>
    <s v="Etapa 5 parte 3"/>
    <d v="2021-04-01T00:00:00"/>
    <s v="Luiz Tiago"/>
    <s v="CA Reformas"/>
    <s v="Madalena"/>
    <n v="2378.9499999999998"/>
    <d v="2021-04-01T00:00:00"/>
    <s v="Transferência Bancária"/>
    <m/>
    <m/>
    <x v="73"/>
    <s v="Pago"/>
    <d v="2021-04-01T00:00:00"/>
    <x v="8"/>
    <n v="-2378.9499999999998"/>
    <n v="0"/>
    <n v="2378.9499999999998"/>
  </r>
  <r>
    <s v="E285"/>
    <s v="FILE"/>
    <x v="0"/>
    <x v="0"/>
    <x v="0"/>
    <s v="Etapa 5 parte 3"/>
    <d v="2021-04-01T00:00:00"/>
    <s v="Matheus"/>
    <s v="Go Kitchen"/>
    <s v="Madalena"/>
    <n v="2378.9499999999998"/>
    <d v="2021-04-01T00:00:00"/>
    <s v="Transferência Bancária"/>
    <m/>
    <m/>
    <x v="73"/>
    <s v="Pago"/>
    <d v="2021-04-01T00:00:00"/>
    <x v="8"/>
    <n v="2378.9499999999998"/>
    <n v="0"/>
    <n v="2378.9499999999998"/>
  </r>
  <r>
    <s v="E286"/>
    <s v="FILE"/>
    <x v="1"/>
    <x v="2"/>
    <x v="3"/>
    <s v="Etapa 5 parte 3"/>
    <d v="2021-04-01T00:00:00"/>
    <s v="Matheus"/>
    <s v="CA Reformas"/>
    <s v="Madalena"/>
    <n v="2378.9499999999998"/>
    <d v="2021-04-01T00:00:00"/>
    <s v="Transferência Bancária"/>
    <m/>
    <m/>
    <x v="73"/>
    <s v="Pago"/>
    <d v="2021-04-01T00:00:00"/>
    <x v="8"/>
    <n v="-2378.9499999999998"/>
    <n v="0"/>
    <n v="2378.9499999999998"/>
  </r>
  <r>
    <s v="E287"/>
    <s v="FILE"/>
    <x v="0"/>
    <x v="0"/>
    <x v="0"/>
    <s v="Conta de Água referencia 02/2020"/>
    <d v="2021-04-09T00:00:00"/>
    <s v="Bruno"/>
    <s v="Go Kitchen"/>
    <s v="Madalena"/>
    <n v="626.05999999999995"/>
    <d v="2021-04-09T00:00:00"/>
    <s v="Crédito"/>
    <m/>
    <m/>
    <x v="74"/>
    <s v="Pago"/>
    <d v="2021-04-09T00:00:00"/>
    <x v="8"/>
    <n v="626.05999999999995"/>
    <n v="0"/>
    <n v="626.05999999999995"/>
  </r>
  <r>
    <s v="E288"/>
    <s v="FILE"/>
    <x v="1"/>
    <x v="4"/>
    <x v="7"/>
    <s v="Conta de Água referencia 02/2021"/>
    <d v="2021-04-09T00:00:00"/>
    <s v="Bruno"/>
    <s v="COMPESA"/>
    <s v="Madalena"/>
    <n v="626.05999999999995"/>
    <d v="2021-04-09T00:00:00"/>
    <s v="Crédito"/>
    <m/>
    <m/>
    <x v="74"/>
    <s v="Pago"/>
    <d v="2021-04-09T00:00:00"/>
    <x v="8"/>
    <n v="-626.05999999999995"/>
    <n v="0"/>
    <n v="626.05999999999995"/>
  </r>
  <r>
    <s v="E289"/>
    <s v="FILE"/>
    <x v="0"/>
    <x v="0"/>
    <x v="0"/>
    <s v="Conta de Água referencia 03/2020"/>
    <d v="2021-04-09T00:00:00"/>
    <s v="Bruno"/>
    <s v="Go Kitchen"/>
    <s v="Madalena"/>
    <n v="340.75"/>
    <d v="2021-04-09T00:00:00"/>
    <s v="Crédito"/>
    <m/>
    <m/>
    <x v="74"/>
    <s v="Pago"/>
    <d v="2021-04-09T00:00:00"/>
    <x v="8"/>
    <n v="340.75"/>
    <n v="0"/>
    <n v="340.75"/>
  </r>
  <r>
    <s v="E290"/>
    <s v="FILE"/>
    <x v="1"/>
    <x v="4"/>
    <x v="7"/>
    <s v="Conta de Água referencia 03/2021"/>
    <d v="2021-04-09T00:00:00"/>
    <s v="Bruno"/>
    <s v="COMPESA"/>
    <s v="Madalena"/>
    <n v="340.75"/>
    <d v="2021-04-09T00:00:00"/>
    <s v="Crédito"/>
    <m/>
    <m/>
    <x v="74"/>
    <s v="Pago"/>
    <d v="2021-04-09T00:00:00"/>
    <x v="8"/>
    <n v="-340.75"/>
    <n v="0"/>
    <n v="340.75"/>
  </r>
  <r>
    <s v="E291"/>
    <s v="FILE"/>
    <x v="0"/>
    <x v="0"/>
    <x v="0"/>
    <s v="Encanação finalização do esgoto"/>
    <d v="2021-04-09T00:00:00"/>
    <s v="Luiz Tiago"/>
    <s v="Go Kitchen"/>
    <s v="Madalena"/>
    <n v="1079.9000000000001"/>
    <d v="2021-04-09T00:00:00"/>
    <s v="Crédito"/>
    <m/>
    <m/>
    <x v="74"/>
    <s v="Pago"/>
    <d v="2021-04-09T00:00:00"/>
    <x v="8"/>
    <n v="1079.9000000000001"/>
    <n v="0"/>
    <n v="1079.9000000000001"/>
  </r>
  <r>
    <s v="E292"/>
    <s v="FILE"/>
    <x v="1"/>
    <x v="2"/>
    <x v="5"/>
    <s v="Encanação finalização do esgoto"/>
    <d v="2021-04-09T00:00:00"/>
    <s v="Luiz Tiago"/>
    <s v="Lojão da Construção"/>
    <s v="Madalena"/>
    <n v="1079.9000000000001"/>
    <d v="2021-04-09T00:00:00"/>
    <s v="Crédito"/>
    <m/>
    <m/>
    <x v="74"/>
    <s v="Pago"/>
    <d v="2021-04-09T00:00:00"/>
    <x v="8"/>
    <n v="-1079.9000000000001"/>
    <n v="0"/>
    <n v="1079.9000000000001"/>
  </r>
  <r>
    <s v="E293"/>
    <s v="FILE"/>
    <x v="0"/>
    <x v="0"/>
    <x v="0"/>
    <s v="Semana 6 parte 3"/>
    <d v="2021-04-09T00:00:00"/>
    <s v="Bruno"/>
    <s v="Go Kitchen"/>
    <s v="Madalena"/>
    <n v="4000"/>
    <d v="2021-04-09T00:00:00"/>
    <s v="Transferência Bancária"/>
    <m/>
    <m/>
    <x v="74"/>
    <s v="Pago"/>
    <d v="2021-04-09T00:00:00"/>
    <x v="8"/>
    <n v="4000"/>
    <n v="0"/>
    <n v="4000"/>
  </r>
  <r>
    <s v="E294"/>
    <s v="FILE"/>
    <x v="1"/>
    <x v="2"/>
    <x v="3"/>
    <s v="Semana 6 parte 3"/>
    <d v="2021-04-09T00:00:00"/>
    <s v="Bruno"/>
    <s v="CA Reformas"/>
    <s v="Madalena"/>
    <n v="4000"/>
    <d v="2021-04-09T00:00:00"/>
    <s v="Transferência Bancária"/>
    <m/>
    <m/>
    <x v="74"/>
    <s v="Pago"/>
    <d v="2021-04-09T00:00:00"/>
    <x v="8"/>
    <n v="-4000"/>
    <n v="0"/>
    <n v="4000"/>
  </r>
  <r>
    <s v="E295"/>
    <s v="FILE"/>
    <x v="0"/>
    <x v="0"/>
    <x v="0"/>
    <s v="Mensalidade 4 de 12 ano 1 Segurança"/>
    <d v="2021-04-16T00:00:00"/>
    <s v="Bruno"/>
    <s v="Go Kitchen"/>
    <s v="Madalena"/>
    <n v="190"/>
    <d v="2021-04-16T00:00:00"/>
    <s v="Boleto"/>
    <m/>
    <m/>
    <x v="42"/>
    <s v="Pago"/>
    <d v="2021-04-16T00:00:00"/>
    <x v="8"/>
    <n v="190"/>
    <n v="0"/>
    <n v="190"/>
  </r>
  <r>
    <s v="E296"/>
    <s v="FILE"/>
    <x v="0"/>
    <x v="0"/>
    <x v="0"/>
    <s v="Juros Mensalidade 4 de 12 ano 1 - Alarme - Grupo Seg"/>
    <d v="2021-04-16T00:00:00"/>
    <s v="Bruno"/>
    <s v="Go Kitchen"/>
    <s v="Madalena"/>
    <n v="21.99"/>
    <d v="2021-04-16T00:00:00"/>
    <s v="Boleto"/>
    <m/>
    <m/>
    <x v="42"/>
    <s v="Pago"/>
    <d v="2021-04-16T00:00:00"/>
    <x v="8"/>
    <n v="21.99"/>
    <n v="0"/>
    <n v="21.99"/>
  </r>
  <r>
    <s v="E297"/>
    <s v="FILE"/>
    <x v="1"/>
    <x v="8"/>
    <x v="11"/>
    <s v="Juros Mensalidade 4 de 12 ano 1 - Alarme - Grupo Seg"/>
    <d v="2021-04-16T00:00:00"/>
    <s v="Bruno"/>
    <s v="Grupo SEG"/>
    <s v="Madalena"/>
    <n v="21.99"/>
    <d v="2021-02-03T00:00:00"/>
    <s v="Boleto"/>
    <m/>
    <m/>
    <x v="42"/>
    <s v="Pago"/>
    <d v="2021-02-03T00:00:00"/>
    <x v="8"/>
    <n v="-21.99"/>
    <n v="0"/>
    <n v="21.99"/>
  </r>
  <r>
    <s v="E298"/>
    <s v="FILE"/>
    <x v="0"/>
    <x v="0"/>
    <x v="0"/>
    <s v="IPTU 3.2021"/>
    <d v="2021-03-10T00:00:00"/>
    <s v="Bruno"/>
    <s v="Go Kitchen"/>
    <s v="Madalena"/>
    <n v="976.03"/>
    <d v="2021-04-14T00:00:00"/>
    <s v="Boleto"/>
    <m/>
    <m/>
    <x v="75"/>
    <s v="Pago"/>
    <d v="2021-04-14T00:00:00"/>
    <x v="8"/>
    <n v="976.03"/>
    <n v="0"/>
    <n v="976.03"/>
  </r>
  <r>
    <s v="E299"/>
    <s v="FILE"/>
    <x v="1"/>
    <x v="3"/>
    <x v="4"/>
    <s v="IPTU 3.2021"/>
    <d v="2021-03-10T00:00:00"/>
    <s v="Bruno"/>
    <s v="Prefeitura do Recife"/>
    <s v="Madalena"/>
    <n v="976.03"/>
    <d v="2021-04-14T00:00:00"/>
    <s v="Boleto"/>
    <m/>
    <m/>
    <x v="75"/>
    <s v="Pago"/>
    <d v="2021-04-14T00:00:00"/>
    <x v="8"/>
    <n v="-976.03"/>
    <n v="0"/>
    <n v="976.03"/>
  </r>
  <r>
    <s v="E300"/>
    <s v="FILE"/>
    <x v="0"/>
    <x v="0"/>
    <x v="0"/>
    <s v="Semana 6 parte 3"/>
    <d v="2021-04-14T00:00:00"/>
    <s v="Matheus"/>
    <s v="Go Kitchen"/>
    <s v="Madalena"/>
    <n v="2378.9499999999998"/>
    <d v="2021-04-14T00:00:00"/>
    <s v="Boleto"/>
    <m/>
    <m/>
    <x v="76"/>
    <s v="Pago"/>
    <d v="2021-04-14T00:00:00"/>
    <x v="8"/>
    <n v="2378.9499999999998"/>
    <n v="0"/>
    <n v="2378.9499999999998"/>
  </r>
  <r>
    <s v="E301"/>
    <s v="FILE"/>
    <x v="1"/>
    <x v="2"/>
    <x v="3"/>
    <s v="Semana 6 parte 3"/>
    <d v="2021-04-14T00:00:00"/>
    <s v="Matheus"/>
    <s v="CA Reformas"/>
    <s v="Madalena"/>
    <n v="2378.9499999999998"/>
    <d v="2021-04-14T00:00:00"/>
    <s v="Boleto"/>
    <m/>
    <m/>
    <x v="76"/>
    <s v="Pago"/>
    <d v="2021-04-14T00:00:00"/>
    <x v="8"/>
    <n v="-2378.9499999999998"/>
    <n v="0"/>
    <n v="2378.9499999999998"/>
  </r>
  <r>
    <s v="E302"/>
    <s v="FILE"/>
    <x v="0"/>
    <x v="0"/>
    <x v="0"/>
    <s v="Semana 6 parte 3"/>
    <d v="2021-04-14T00:00:00"/>
    <s v="Luiz Tiago"/>
    <s v="Go Kitchen"/>
    <s v="Madalena"/>
    <n v="2378.9499999999998"/>
    <d v="2021-04-14T00:00:00"/>
    <s v="Boleto"/>
    <m/>
    <m/>
    <x v="76"/>
    <s v="Pago"/>
    <d v="2021-04-14T00:00:00"/>
    <x v="8"/>
    <n v="2378.9499999999998"/>
    <n v="0"/>
    <n v="2378.9499999999998"/>
  </r>
  <r>
    <s v="E303"/>
    <s v="FILE"/>
    <x v="1"/>
    <x v="2"/>
    <x v="3"/>
    <s v="Semana 6 parte 3"/>
    <d v="2021-04-14T00:00:00"/>
    <s v="Luiz Tiago"/>
    <s v="CA Reformas"/>
    <s v="Madalena"/>
    <n v="2378.9499999999998"/>
    <d v="2021-04-14T00:00:00"/>
    <s v="Boleto"/>
    <m/>
    <m/>
    <x v="76"/>
    <s v="Pago"/>
    <d v="2021-04-14T00:00:00"/>
    <x v="8"/>
    <n v="-2378.9499999999998"/>
    <n v="0"/>
    <n v="2378.9499999999998"/>
  </r>
  <r>
    <s v="E304"/>
    <s v="FILE"/>
    <x v="0"/>
    <x v="0"/>
    <x v="0"/>
    <s v="Semana 7 Parte 3"/>
    <d v="2021-04-16T00:00:00"/>
    <s v="Bruno"/>
    <s v="Go Kitchen"/>
    <s v="Madalena"/>
    <n v="4000"/>
    <d v="2021-04-16T00:00:00"/>
    <s v="Transferência Bancária"/>
    <m/>
    <m/>
    <x v="42"/>
    <s v="Pago"/>
    <d v="2021-04-16T00:00:00"/>
    <x v="8"/>
    <n v="4000"/>
    <n v="0"/>
    <n v="4000"/>
  </r>
  <r>
    <s v="E305"/>
    <s v="FILE"/>
    <x v="1"/>
    <x v="2"/>
    <x v="3"/>
    <s v="Semana 7 Parte 3"/>
    <d v="2021-04-16T00:00:00"/>
    <s v="Bruno"/>
    <s v="CA Reformas"/>
    <s v="Madalena"/>
    <n v="4000"/>
    <d v="2021-04-16T00:00:00"/>
    <s v="Boleto"/>
    <m/>
    <m/>
    <x v="42"/>
    <s v="Pago"/>
    <d v="2021-04-16T00:00:00"/>
    <x v="8"/>
    <n v="-4000"/>
    <n v="0"/>
    <n v="4000"/>
  </r>
  <r>
    <s v="E306"/>
    <s v="FILE"/>
    <x v="0"/>
    <x v="0"/>
    <x v="0"/>
    <s v="Frete Resto de Ceramica"/>
    <d v="2021-04-14T00:00:00"/>
    <s v="Matheus"/>
    <s v="Go Kitchen"/>
    <s v="Madalena"/>
    <n v="100"/>
    <d v="2021-04-14T00:00:00"/>
    <s v="Transferência Bancária"/>
    <m/>
    <m/>
    <x v="76"/>
    <s v="Pago"/>
    <d v="2021-04-14T00:00:00"/>
    <x v="8"/>
    <n v="100"/>
    <n v="0"/>
    <n v="100"/>
  </r>
  <r>
    <s v="E307"/>
    <s v="FILE"/>
    <x v="1"/>
    <x v="2"/>
    <x v="5"/>
    <s v="Frete Resto de Ceramica"/>
    <d v="2021-04-14T00:00:00"/>
    <s v="Matheus"/>
    <s v="Roberio Pereira"/>
    <s v="Madalena"/>
    <n v="100"/>
    <d v="2021-04-14T00:00:00"/>
    <s v="Transferência Bancária"/>
    <m/>
    <m/>
    <x v="76"/>
    <s v="Pago"/>
    <d v="2021-04-14T00:00:00"/>
    <x v="8"/>
    <n v="-100"/>
    <n v="0"/>
    <n v="100"/>
  </r>
  <r>
    <s v="E308"/>
    <s v="FILE"/>
    <x v="0"/>
    <x v="0"/>
    <x v="0"/>
    <s v="Resto de Ceramica 42x42"/>
    <d v="2021-04-14T00:00:00"/>
    <s v="Matheus"/>
    <s v="Go Kitchen"/>
    <s v="Madalena"/>
    <n v="1735"/>
    <d v="2021-04-14T00:00:00"/>
    <s v="Crédito"/>
    <m/>
    <m/>
    <x v="76"/>
    <s v="Pago"/>
    <d v="2021-04-14T00:00:00"/>
    <x v="8"/>
    <n v="1735"/>
    <n v="0"/>
    <n v="1735"/>
  </r>
  <r>
    <s v="E309"/>
    <s v="FILE"/>
    <x v="1"/>
    <x v="2"/>
    <x v="5"/>
    <s v="Resto de Ceramica 42x42"/>
    <d v="2021-04-14T00:00:00"/>
    <s v="Matheus"/>
    <s v="Ferreira Costa"/>
    <s v="Madalena"/>
    <n v="1735"/>
    <d v="2021-04-14T00:00:00"/>
    <s v="Crédito"/>
    <m/>
    <m/>
    <x v="76"/>
    <s v="Pago"/>
    <d v="2021-04-14T00:00:00"/>
    <x v="8"/>
    <n v="-1735"/>
    <n v="0"/>
    <n v="1735"/>
  </r>
  <r>
    <s v="E310"/>
    <s v="FILE"/>
    <x v="0"/>
    <x v="0"/>
    <x v="0"/>
    <s v="Ceramica externa 200m²"/>
    <d v="2021-04-19T00:00:00"/>
    <s v="Bruno"/>
    <s v="Go Kitchen"/>
    <s v="Madalena"/>
    <n v="8957.61"/>
    <d v="2021-04-19T00:00:00"/>
    <s v="Crédito"/>
    <m/>
    <m/>
    <x v="77"/>
    <s v="Pago"/>
    <d v="2021-04-19T00:00:00"/>
    <x v="8"/>
    <n v="8957.61"/>
    <n v="0"/>
    <n v="8957.61"/>
  </r>
  <r>
    <s v="E311"/>
    <s v="FILE"/>
    <x v="1"/>
    <x v="2"/>
    <x v="5"/>
    <s v="Ceramica externa 200m²"/>
    <d v="2021-04-19T00:00:00"/>
    <s v="Bruno"/>
    <s v="Ferreira Costa"/>
    <s v="Madalena"/>
    <n v="8957.61"/>
    <d v="2021-04-19T00:00:00"/>
    <s v="Crédito"/>
    <m/>
    <m/>
    <x v="77"/>
    <s v="Pago"/>
    <d v="2021-04-19T00:00:00"/>
    <x v="8"/>
    <n v="-8957.61"/>
    <n v="0"/>
    <n v="8957.61"/>
  </r>
  <r>
    <s v="E312"/>
    <s v="FILE"/>
    <x v="0"/>
    <x v="0"/>
    <x v="0"/>
    <s v="Exautores"/>
    <d v="2021-04-20T00:00:00"/>
    <s v="Bruno"/>
    <s v="Go Kitchen"/>
    <s v="Madalena"/>
    <n v="3243.6"/>
    <d v="2021-04-20T00:00:00"/>
    <s v="Crédito"/>
    <m/>
    <m/>
    <x v="78"/>
    <s v="Pago"/>
    <d v="2021-04-20T00:00:00"/>
    <x v="8"/>
    <n v="3243.6"/>
    <n v="0"/>
    <n v="3243.6"/>
  </r>
  <r>
    <s v="E313"/>
    <s v="FILE"/>
    <x v="1"/>
    <x v="2"/>
    <x v="5"/>
    <s v="Exautores"/>
    <d v="2021-04-20T00:00:00"/>
    <s v="Bruno"/>
    <s v="Expofrios Equipamentos"/>
    <s v="Madalena"/>
    <n v="3243.6"/>
    <d v="2021-04-20T00:00:00"/>
    <s v="Crédito"/>
    <m/>
    <m/>
    <x v="78"/>
    <s v="Pago"/>
    <d v="2021-04-20T00:00:00"/>
    <x v="8"/>
    <n v="-3243.6"/>
    <n v="0"/>
    <n v="3243.6"/>
  </r>
  <r>
    <s v="E314"/>
    <s v="FILE"/>
    <x v="0"/>
    <x v="0"/>
    <x v="0"/>
    <s v="Semana 8 - Parte 3"/>
    <d v="2021-04-30T00:00:00"/>
    <s v="Bruno"/>
    <s v="Go Kitchen"/>
    <s v="Madalena"/>
    <n v="3138"/>
    <d v="2021-04-30T00:00:00"/>
    <s v="Transferência Bancária"/>
    <m/>
    <m/>
    <x v="79"/>
    <s v="Pago"/>
    <d v="2021-04-30T00:00:00"/>
    <x v="8"/>
    <n v="3138"/>
    <n v="0"/>
    <n v="3138"/>
  </r>
  <r>
    <s v="E315"/>
    <s v="FILE"/>
    <x v="1"/>
    <x v="2"/>
    <x v="3"/>
    <s v="Semana 8 - Parte 3"/>
    <d v="2021-04-30T00:00:00"/>
    <s v="Bruno"/>
    <s v="CA Reformas"/>
    <s v="Madalena"/>
    <n v="3138"/>
    <d v="2021-04-30T00:00:00"/>
    <s v="Transferência Bancária"/>
    <m/>
    <m/>
    <x v="79"/>
    <s v="Pago"/>
    <d v="2021-04-30T00:00:00"/>
    <x v="8"/>
    <n v="-3138"/>
    <n v="0"/>
    <n v="3138"/>
  </r>
  <r>
    <s v="E316"/>
    <s v="FILE"/>
    <x v="0"/>
    <x v="0"/>
    <x v="0"/>
    <s v="Semana 7 Parte 3"/>
    <d v="2021-04-20T00:00:00"/>
    <s v="Luiz Tiago"/>
    <s v="Go Kitchen"/>
    <s v="Madalena"/>
    <n v="2693.78"/>
    <d v="2021-04-20T00:00:00"/>
    <s v="Transferência Bancária"/>
    <m/>
    <m/>
    <x v="78"/>
    <s v="Pago"/>
    <d v="2021-04-20T00:00:00"/>
    <x v="8"/>
    <n v="2693.78"/>
    <n v="0"/>
    <n v="2693.78"/>
  </r>
  <r>
    <s v="E317"/>
    <s v="FILE"/>
    <x v="1"/>
    <x v="2"/>
    <x v="3"/>
    <s v="Semana 7 Parte 3"/>
    <d v="2021-04-20T00:00:00"/>
    <s v="Luiz Tiago"/>
    <s v="CA Reformas"/>
    <s v="Madalena"/>
    <n v="2693.78"/>
    <d v="2021-04-20T00:00:00"/>
    <s v="Transferência Bancária"/>
    <m/>
    <m/>
    <x v="78"/>
    <s v="Pago"/>
    <d v="2021-04-20T00:00:00"/>
    <x v="8"/>
    <n v="-2693.78"/>
    <n v="0"/>
    <n v="2693.78"/>
  </r>
  <r>
    <s v="E318"/>
    <s v="FILE"/>
    <x v="0"/>
    <x v="0"/>
    <x v="0"/>
    <s v="Semana 8 - Parte 3"/>
    <d v="2021-05-01T00:00:00"/>
    <s v="Luiz Tiago"/>
    <s v="Go Kitchen"/>
    <s v="Madalena"/>
    <n v="1569"/>
    <d v="2021-05-01T00:00:00"/>
    <s v="Transferência Bancária"/>
    <m/>
    <m/>
    <x v="80"/>
    <s v="Pago"/>
    <d v="2021-05-03T00:00:00"/>
    <x v="9"/>
    <n v="1569"/>
    <n v="0"/>
    <n v="1569"/>
  </r>
  <r>
    <s v="E319"/>
    <s v="FILE"/>
    <x v="1"/>
    <x v="2"/>
    <x v="3"/>
    <s v="Semana 8 - Parte 3"/>
    <d v="2021-05-01T00:00:00"/>
    <s v="Luiz Tiago"/>
    <s v="CA Reformas"/>
    <s v="Madalena"/>
    <n v="1569"/>
    <d v="2021-05-01T00:00:00"/>
    <s v="Transferência Bancária"/>
    <m/>
    <m/>
    <x v="80"/>
    <s v="Pago"/>
    <d v="2021-05-03T00:00:00"/>
    <x v="9"/>
    <n v="-1569"/>
    <n v="0"/>
    <n v="1569"/>
  </r>
  <r>
    <s v="E320"/>
    <s v="FILE"/>
    <x v="0"/>
    <x v="0"/>
    <x v="0"/>
    <s v="Semana 7 Parte 3"/>
    <d v="2021-04-22T00:00:00"/>
    <s v="Matheus"/>
    <s v="Go Kitchen"/>
    <s v="Madalena"/>
    <n v="2693.78"/>
    <d v="2021-05-22T00:00:00"/>
    <s v="Transferência Bancária"/>
    <m/>
    <m/>
    <x v="81"/>
    <s v="Pago"/>
    <d v="2021-05-24T00:00:00"/>
    <x v="8"/>
    <n v="2693.78"/>
    <n v="0"/>
    <n v="2693.78"/>
  </r>
  <r>
    <s v="E321"/>
    <s v="FILE"/>
    <x v="1"/>
    <x v="2"/>
    <x v="3"/>
    <s v="Semana 7 Parte 3"/>
    <d v="2021-04-22T00:00:00"/>
    <s v="Matheus"/>
    <s v="CA Reformas"/>
    <s v="Madalena"/>
    <n v="2693.78"/>
    <d v="2021-05-22T00:00:00"/>
    <s v="Transferência Bancária"/>
    <m/>
    <m/>
    <x v="81"/>
    <s v="Pago"/>
    <d v="2021-05-24T00:00:00"/>
    <x v="8"/>
    <n v="-2693.78"/>
    <n v="0"/>
    <n v="2693.78"/>
  </r>
  <r>
    <s v="E322"/>
    <s v="FILE"/>
    <x v="0"/>
    <x v="0"/>
    <x v="0"/>
    <s v="Semana 8 - Parte 3"/>
    <d v="2021-05-01T00:00:00"/>
    <s v="Matheus"/>
    <s v="Go Kitchen"/>
    <s v="Madalena"/>
    <n v="1569"/>
    <d v="2021-05-03T00:00:00"/>
    <s v="Transferência Bancária"/>
    <m/>
    <m/>
    <x v="82"/>
    <s v="Pago"/>
    <d v="2021-05-03T00:00:00"/>
    <x v="9"/>
    <n v="1569"/>
    <n v="0"/>
    <n v="1569"/>
  </r>
  <r>
    <s v="E323"/>
    <s v="FILE"/>
    <x v="1"/>
    <x v="2"/>
    <x v="3"/>
    <s v="Semana 8 - Parte 3"/>
    <d v="2021-05-01T00:00:00"/>
    <s v="Matheus"/>
    <s v="CA Reformas"/>
    <s v="Madalena"/>
    <n v="1569"/>
    <d v="2021-05-03T00:00:00"/>
    <s v="Transferência Bancária"/>
    <m/>
    <m/>
    <x v="82"/>
    <s v="Pago"/>
    <d v="2021-05-03T00:00:00"/>
    <x v="9"/>
    <n v="-1569"/>
    <n v="0"/>
    <n v="1569"/>
  </r>
  <r>
    <s v="E324"/>
    <s v="FILE"/>
    <x v="0"/>
    <x v="0"/>
    <x v="0"/>
    <s v="Ferragem e mão de obra para Grade externa, 11 janelas paça prato e 2 janelas em aço da portaria"/>
    <d v="2021-05-10T00:00:00"/>
    <s v="Bruno"/>
    <s v="Go Kitchen"/>
    <s v="Madalena"/>
    <n v="10000"/>
    <d v="2021-05-13T00:00:00"/>
    <s v="Transferência Bancária"/>
    <m/>
    <m/>
    <x v="83"/>
    <s v="Pago"/>
    <d v="2021-05-13T00:00:00"/>
    <x v="9"/>
    <n v="10000"/>
    <n v="0"/>
    <n v="10000"/>
  </r>
  <r>
    <s v="E325"/>
    <s v="FILE"/>
    <x v="1"/>
    <x v="2"/>
    <x v="3"/>
    <s v="Ferragem e mão de obra para Grade externa, 11 janelas paça prato e 2 janelas em aço da portaria"/>
    <d v="2021-05-10T00:00:00"/>
    <s v="Bruno"/>
    <s v="CA Reformas"/>
    <s v="Madalena"/>
    <n v="10000"/>
    <d v="2021-05-13T00:00:00"/>
    <s v="Transferência Bancária"/>
    <m/>
    <m/>
    <x v="83"/>
    <s v="Pago"/>
    <d v="2021-05-13T00:00:00"/>
    <x v="9"/>
    <n v="-10000"/>
    <n v="0"/>
    <n v="10000"/>
  </r>
  <r>
    <s v="E326"/>
    <s v="FILE"/>
    <x v="0"/>
    <x v="0"/>
    <x v="0"/>
    <s v="IPTU 4.2021"/>
    <d v="2021-05-10T00:00:00"/>
    <s v="Bruno"/>
    <s v="Go Kitchen"/>
    <s v="Madalena"/>
    <n v="976.03"/>
    <d v="2021-05-10T00:00:00"/>
    <s v="Boleto"/>
    <m/>
    <m/>
    <x v="84"/>
    <s v="Pago"/>
    <d v="2021-05-10T00:00:00"/>
    <x v="9"/>
    <n v="976.03"/>
    <n v="0"/>
    <n v="976.03"/>
  </r>
  <r>
    <s v="E327"/>
    <s v="FILE"/>
    <x v="1"/>
    <x v="3"/>
    <x v="4"/>
    <s v="IPTU 4.2021"/>
    <d v="2021-05-10T00:00:00"/>
    <s v="Bruno"/>
    <s v="Prefeitura do Recife"/>
    <s v="Madalena"/>
    <n v="976.03"/>
    <d v="2021-05-10T00:00:00"/>
    <s v="Boleto"/>
    <m/>
    <m/>
    <x v="84"/>
    <s v="Pago"/>
    <d v="2021-05-10T00:00:00"/>
    <x v="9"/>
    <n v="-976.03"/>
    <n v="0"/>
    <n v="976.03"/>
  </r>
  <r>
    <s v="E328"/>
    <s v="FILE"/>
    <x v="0"/>
    <x v="0"/>
    <x v="0"/>
    <s v="material final de Hidraulica"/>
    <d v="2021-05-06T00:00:00"/>
    <s v="Luiz Tiago"/>
    <s v="Go Kitchen"/>
    <s v="Madalena"/>
    <n v="867"/>
    <d v="2021-05-06T00:00:00"/>
    <s v="Crédito"/>
    <m/>
    <m/>
    <x v="85"/>
    <s v="Pago"/>
    <d v="2021-05-06T00:00:00"/>
    <x v="9"/>
    <n v="867"/>
    <n v="0"/>
    <n v="867"/>
  </r>
  <r>
    <s v="E329"/>
    <s v="FILE"/>
    <x v="1"/>
    <x v="2"/>
    <x v="5"/>
    <s v="material final de Hidraulica"/>
    <d v="2021-05-06T00:00:00"/>
    <s v="Luiz Tiago"/>
    <s v="AMD Distribuidora"/>
    <s v="Madalena"/>
    <n v="867"/>
    <d v="2021-05-06T00:00:00"/>
    <s v="Crédito"/>
    <m/>
    <m/>
    <x v="85"/>
    <s v="Pago"/>
    <d v="2021-05-06T00:00:00"/>
    <x v="9"/>
    <n v="-867"/>
    <n v="0"/>
    <n v="867"/>
  </r>
  <r>
    <s v="E330"/>
    <s v="FILE"/>
    <x v="0"/>
    <x v="0"/>
    <x v="0"/>
    <s v="Conta de Água referencia 04/2021"/>
    <d v="2021-05-14T00:00:00"/>
    <s v="Bruno"/>
    <s v="Go Kitchen"/>
    <s v="Madalena"/>
    <n v="140.25"/>
    <d v="2021-05-14T00:00:00"/>
    <s v="Boleto"/>
    <m/>
    <m/>
    <x v="86"/>
    <s v="Pago"/>
    <d v="2021-05-14T00:00:00"/>
    <x v="9"/>
    <n v="140.25"/>
    <n v="0"/>
    <n v="140.25"/>
  </r>
  <r>
    <s v="E331"/>
    <s v="FILE"/>
    <x v="1"/>
    <x v="4"/>
    <x v="7"/>
    <s v="Conta de Água referencia 04/2021"/>
    <d v="2021-05-14T00:00:00"/>
    <s v="Bruno"/>
    <s v="Compesa"/>
    <s v="Madalena"/>
    <n v="140.25"/>
    <d v="2021-05-14T00:00:00"/>
    <s v="Boleto"/>
    <m/>
    <m/>
    <x v="86"/>
    <s v="Pago"/>
    <d v="2021-05-14T00:00:00"/>
    <x v="9"/>
    <n v="-140.25"/>
    <n v="0"/>
    <n v="140.25"/>
  </r>
  <r>
    <s v="E332"/>
    <s v="FILE"/>
    <x v="0"/>
    <x v="0"/>
    <x v="0"/>
    <s v="R$500 Poste Energia + R$ 500 do frete e munck"/>
    <d v="2021-05-14T00:00:00"/>
    <s v="Bruno"/>
    <s v="Go Kitchen"/>
    <s v="Madalena"/>
    <n v="1000"/>
    <d v="2021-05-14T00:00:00"/>
    <s v="Transferência Bancária"/>
    <m/>
    <m/>
    <x v="86"/>
    <s v="Pago"/>
    <d v="2021-05-14T00:00:00"/>
    <x v="9"/>
    <n v="1000"/>
    <n v="0"/>
    <n v="1000"/>
  </r>
  <r>
    <s v="E333"/>
    <s v="FILE"/>
    <x v="1"/>
    <x v="2"/>
    <x v="5"/>
    <s v="R$500 Poste Energia + R$ 500 do frete e munck"/>
    <d v="2021-05-14T00:00:00"/>
    <s v="Bruno"/>
    <s v="CA Reformas"/>
    <s v="Madalena"/>
    <n v="1000"/>
    <d v="2021-05-14T00:00:00"/>
    <s v="Transferência Bancária"/>
    <m/>
    <m/>
    <x v="86"/>
    <s v="Pago"/>
    <d v="2021-05-14T00:00:00"/>
    <x v="9"/>
    <n v="-1000"/>
    <n v="0"/>
    <n v="1000"/>
  </r>
  <r>
    <s v="E334"/>
    <s v="FILE"/>
    <x v="0"/>
    <x v="0"/>
    <x v="0"/>
    <s v="50% do valkor material PVC"/>
    <d v="2021-05-11T00:00:00"/>
    <s v="Luiz Tiago"/>
    <s v="Go Kitchen"/>
    <s v="Madalena"/>
    <n v="5750"/>
    <d v="2021-05-11T00:00:00"/>
    <s v="Transferência Bancária"/>
    <m/>
    <m/>
    <x v="87"/>
    <s v="Pago"/>
    <d v="2021-05-11T00:00:00"/>
    <x v="9"/>
    <n v="5750"/>
    <n v="0"/>
    <n v="5750"/>
  </r>
  <r>
    <s v="E335"/>
    <s v="FILE"/>
    <x v="1"/>
    <x v="2"/>
    <x v="5"/>
    <s v="50% do valkor material PVC"/>
    <d v="2021-05-11T00:00:00"/>
    <s v="Luiz Tiago"/>
    <s v="CA Reformas"/>
    <s v="Madalena"/>
    <n v="5750"/>
    <d v="2021-05-11T00:00:00"/>
    <s v="Transferência Bancária"/>
    <m/>
    <m/>
    <x v="87"/>
    <s v="Pago"/>
    <d v="2021-05-11T00:00:00"/>
    <x v="9"/>
    <n v="-5750"/>
    <n v="0"/>
    <n v="5750"/>
  </r>
  <r>
    <s v="E336"/>
    <s v="FILE"/>
    <x v="0"/>
    <x v="0"/>
    <x v="0"/>
    <s v="Aporte referente a 50% PVC e R$732 que faltou semana 1 parte 3"/>
    <d v="2021-05-11T00:00:00"/>
    <s v="Matheus"/>
    <s v="Go Kitchen"/>
    <s v="Madalena"/>
    <n v="6482.21"/>
    <d v="2021-05-11T00:00:00"/>
    <s v="Transferência Bancária"/>
    <m/>
    <m/>
    <x v="87"/>
    <s v="Pago"/>
    <d v="2021-05-11T00:00:00"/>
    <x v="9"/>
    <n v="6482.21"/>
    <n v="0"/>
    <n v="6482.21"/>
  </r>
  <r>
    <s v="E337"/>
    <s v="FILE"/>
    <x v="1"/>
    <x v="2"/>
    <x v="5"/>
    <s v="Semana 1 parte 3 Sald Matheus"/>
    <d v="2021-05-11T00:00:00"/>
    <s v="Matheus"/>
    <s v="CA Reformas"/>
    <s v="Madalena"/>
    <n v="732.21"/>
    <d v="2021-05-11T00:00:00"/>
    <s v="Transferência Bancária"/>
    <m/>
    <m/>
    <x v="87"/>
    <s v="Pago"/>
    <d v="2021-05-11T00:00:00"/>
    <x v="9"/>
    <n v="-732.21"/>
    <n v="0"/>
    <n v="732.21"/>
  </r>
  <r>
    <s v="E338"/>
    <s v="FILE"/>
    <x v="1"/>
    <x v="2"/>
    <x v="5"/>
    <s v="50% do valkor material PVC"/>
    <d v="2021-05-11T00:00:00"/>
    <s v="Matheus"/>
    <s v="CA Reformas"/>
    <s v="Madalena"/>
    <n v="5750"/>
    <d v="2021-05-11T00:00:00"/>
    <s v="Transferência Bancária"/>
    <m/>
    <m/>
    <x v="87"/>
    <s v="Pago"/>
    <d v="2021-05-11T00:00:00"/>
    <x v="9"/>
    <n v="-5750"/>
    <n v="0"/>
    <n v="5750"/>
  </r>
  <r>
    <s v="E339"/>
    <s v="FILE"/>
    <x v="0"/>
    <x v="0"/>
    <x v="0"/>
    <s v="Semana 3 parte 3 Saldo Bruno"/>
    <d v="2021-05-08T00:00:00"/>
    <s v="Bruno"/>
    <s v="Go Kitchen"/>
    <s v="Madalena"/>
    <n v="2054.6799999999998"/>
    <d v="2021-05-08T00:00:00"/>
    <s v="Transferência Bancária"/>
    <m/>
    <m/>
    <x v="88"/>
    <s v="Pago"/>
    <d v="2021-05-10T00:00:00"/>
    <x v="9"/>
    <n v="2054.6799999999998"/>
    <n v="0"/>
    <n v="2054.6799999999998"/>
  </r>
  <r>
    <s v="E340"/>
    <s v="FILE"/>
    <x v="1"/>
    <x v="2"/>
    <x v="3"/>
    <s v="Semana 3 parte 3 Saldo Bruno"/>
    <d v="2021-05-08T00:00:00"/>
    <s v="Bruno"/>
    <s v="CA Reformas"/>
    <s v="Madalena"/>
    <n v="2054.6799999999998"/>
    <d v="2021-05-08T00:00:00"/>
    <s v="Transferência Bancária"/>
    <m/>
    <m/>
    <x v="88"/>
    <s v="Pago"/>
    <d v="2021-05-10T00:00:00"/>
    <x v="9"/>
    <n v="-2054.6799999999998"/>
    <n v="0"/>
    <n v="2054.6799999999998"/>
  </r>
  <r>
    <s v="E341"/>
    <s v="FILE"/>
    <x v="0"/>
    <x v="0"/>
    <x v="0"/>
    <s v="Semanas, 2 -4 -6- 7 Saldo Bruno"/>
    <d v="2021-05-14T00:00:00"/>
    <s v="Bruno"/>
    <s v="Go Kitchen"/>
    <s v="Madalena"/>
    <n v="2713.03"/>
    <d v="2021-05-14T00:00:00"/>
    <s v="Transferência Bancária"/>
    <m/>
    <m/>
    <x v="86"/>
    <s v="Pago"/>
    <d v="2021-05-14T00:00:00"/>
    <x v="9"/>
    <n v="2713.03"/>
    <n v="0"/>
    <n v="2713.03"/>
  </r>
  <r>
    <s v="E342"/>
    <s v="FILE"/>
    <x v="1"/>
    <x v="2"/>
    <x v="3"/>
    <s v="Semana 2 parte 3 Saldo Bruno"/>
    <d v="2021-05-14T00:00:00"/>
    <s v="Bruno"/>
    <s v="CA Reformas"/>
    <s v="Madalena"/>
    <n v="313.5"/>
    <d v="2021-05-14T00:00:00"/>
    <s v="Transferência Bancária"/>
    <m/>
    <m/>
    <x v="86"/>
    <s v="Pago"/>
    <d v="2021-05-14T00:00:00"/>
    <x v="9"/>
    <n v="-313.5"/>
    <n v="0"/>
    <n v="313.5"/>
  </r>
  <r>
    <s v="E343"/>
    <s v="FILE"/>
    <x v="1"/>
    <x v="2"/>
    <x v="3"/>
    <s v="Semana 4 parte 3 Saldo Bruno"/>
    <d v="2021-05-14T00:00:00"/>
    <s v="Bruno"/>
    <s v="CA Reformas"/>
    <s v="Madalena"/>
    <n v="198.74"/>
    <d v="2021-05-14T00:00:00"/>
    <s v="Transferência Bancária"/>
    <m/>
    <m/>
    <x v="86"/>
    <s v="Pago"/>
    <d v="2021-05-14T00:00:00"/>
    <x v="9"/>
    <n v="-198.74"/>
    <n v="0"/>
    <n v="198.74"/>
  </r>
  <r>
    <s v="E344"/>
    <s v="FILE"/>
    <x v="1"/>
    <x v="2"/>
    <x v="3"/>
    <s v="Semana 6 parte 3 Saldo Bruno"/>
    <d v="2021-05-14T00:00:00"/>
    <s v="Bruno"/>
    <s v="CA Reformas"/>
    <s v="Madalena"/>
    <n v="813.25"/>
    <d v="2021-05-14T00:00:00"/>
    <s v="Transferência Bancária"/>
    <m/>
    <m/>
    <x v="86"/>
    <s v="Pago"/>
    <d v="2021-05-14T00:00:00"/>
    <x v="9"/>
    <n v="-813.25"/>
    <n v="0"/>
    <n v="813.25"/>
  </r>
  <r>
    <s v="E345"/>
    <s v="FILE"/>
    <x v="1"/>
    <x v="2"/>
    <x v="3"/>
    <s v="Semana 7 parte 3 Saldo Bruno"/>
    <d v="2021-05-14T00:00:00"/>
    <s v="Bruno"/>
    <s v="CA Reformas"/>
    <s v="Madalena"/>
    <n v="1387.54"/>
    <d v="2021-05-14T00:00:00"/>
    <s v="Transferência Bancária"/>
    <m/>
    <m/>
    <x v="86"/>
    <s v="Pago"/>
    <d v="2021-05-14T00:00:00"/>
    <x v="9"/>
    <n v="-1387.54"/>
    <n v="0"/>
    <n v="1387.54"/>
  </r>
  <r>
    <s v="E346"/>
    <s v="FILE"/>
    <x v="0"/>
    <x v="0"/>
    <x v="0"/>
    <s v="Portas e Janelas"/>
    <d v="2021-01-12T00:00:00"/>
    <s v="Bruno"/>
    <s v="Go Kitchen"/>
    <s v="Madalena"/>
    <n v="13400"/>
    <d v="2021-01-12T00:00:00"/>
    <s v="Transferência Bancária"/>
    <m/>
    <m/>
    <x v="89"/>
    <s v="Pago"/>
    <d v="2021-01-12T00:00:00"/>
    <x v="6"/>
    <n v="13400"/>
    <n v="0"/>
    <n v="13400"/>
  </r>
  <r>
    <s v="E347"/>
    <s v="FILE"/>
    <x v="1"/>
    <x v="2"/>
    <x v="3"/>
    <s v="Portas e Janelas"/>
    <d v="2021-01-12T00:00:00"/>
    <s v="Bruno"/>
    <s v="Armázem Coral"/>
    <s v="Madalena"/>
    <n v="13400"/>
    <d v="2021-01-12T00:00:00"/>
    <s v="Transferência Bancária"/>
    <m/>
    <m/>
    <x v="89"/>
    <s v="Pago"/>
    <d v="2021-01-12T00:00:00"/>
    <x v="6"/>
    <n v="-13400"/>
    <n v="0"/>
    <n v="13400"/>
  </r>
  <r>
    <s v="E348"/>
    <s v="FILE"/>
    <x v="0"/>
    <x v="0"/>
    <x v="0"/>
    <s v="IPTU 5.2021"/>
    <d v="2021-06-10T00:00:00"/>
    <s v="Bruno"/>
    <s v="Go Kitchen"/>
    <s v="Madalena"/>
    <n v="976.03"/>
    <d v="2021-06-10T00:00:00"/>
    <s v="Boleto"/>
    <m/>
    <m/>
    <x v="90"/>
    <s v="Pago"/>
    <d v="2021-06-10T00:00:00"/>
    <x v="12"/>
    <n v="976.03"/>
    <n v="0"/>
    <n v="976.03"/>
  </r>
  <r>
    <s v="E349"/>
    <s v="FILE"/>
    <x v="1"/>
    <x v="3"/>
    <x v="4"/>
    <s v="IPTU 5.2021"/>
    <d v="2021-06-10T00:00:00"/>
    <s v="Bruno"/>
    <s v="Prefeitura do Recife"/>
    <s v="Madalena"/>
    <n v="976.03"/>
    <d v="2021-06-10T00:00:00"/>
    <s v="Boleto"/>
    <m/>
    <m/>
    <x v="90"/>
    <s v="Pago"/>
    <d v="2021-06-10T00:00:00"/>
    <x v="12"/>
    <n v="-976.03"/>
    <n v="0"/>
    <n v="976.03"/>
  </r>
  <r>
    <s v="E350"/>
    <s v="FILE"/>
    <x v="0"/>
    <x v="0"/>
    <x v="0"/>
    <s v="Mensalidade 5 de 12 ano 1"/>
    <d v="2021-05-26T00:00:00"/>
    <s v="Bruno"/>
    <s v="Go Kitchen"/>
    <s v="Madalena"/>
    <n v="208.29"/>
    <d v="2021-05-26T00:00:00"/>
    <s v="Boleto"/>
    <m/>
    <m/>
    <x v="43"/>
    <s v="Pago"/>
    <d v="2021-05-26T00:00:00"/>
    <x v="9"/>
    <n v="208.29"/>
    <n v="0"/>
    <n v="208.29"/>
  </r>
  <r>
    <s v="E351"/>
    <s v="FILE"/>
    <x v="1"/>
    <x v="8"/>
    <x v="11"/>
    <s v="Juros Mensalidade 5"/>
    <d v="2021-05-26T00:00:00"/>
    <s v="Bruno"/>
    <s v="Grupo SEG"/>
    <s v="Madalena"/>
    <n v="18.29"/>
    <d v="2021-05-26T00:00:00"/>
    <s v="Boleto"/>
    <m/>
    <m/>
    <x v="43"/>
    <s v="Pago"/>
    <d v="2021-05-26T00:00:00"/>
    <x v="9"/>
    <n v="-18.29"/>
    <n v="0"/>
    <n v="18.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3088D-1C4A-4FE0-BAC8-81DE322F3C56}" name="Tabela dinâmica1" cacheId="28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A3:O30" firstHeaderRow="1" firstDataRow="2" firstDataCol="1"/>
  <pivotFields count="23">
    <pivotField numFmtId="14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axis="axisRow" showAll="0">
      <items count="12">
        <item x="0"/>
        <item x="4"/>
        <item x="8"/>
        <item m="1" x="10"/>
        <item x="3"/>
        <item x="7"/>
        <item x="6"/>
        <item x="2"/>
        <item x="5"/>
        <item x="1"/>
        <item m="1" x="9"/>
        <item t="default"/>
      </items>
    </pivotField>
    <pivotField axis="axisRow" showAll="0">
      <items count="26">
        <item x="7"/>
        <item m="1" x="22"/>
        <item x="2"/>
        <item m="1" x="20"/>
        <item m="1" x="24"/>
        <item m="1" x="21"/>
        <item m="1" x="18"/>
        <item m="1" x="14"/>
        <item x="4"/>
        <item x="11"/>
        <item x="5"/>
        <item m="1" x="17"/>
        <item x="6"/>
        <item x="1"/>
        <item x="8"/>
        <item m="1" x="23"/>
        <item x="3"/>
        <item m="1" x="15"/>
        <item m="1" x="16"/>
        <item x="0"/>
        <item x="9"/>
        <item m="1" x="19"/>
        <item m="1" x="13"/>
        <item x="10"/>
        <item x="12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14"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4" showAll="0"/>
    <pivotField axis="axisCol" showAll="0">
      <items count="18">
        <item m="1" x="13"/>
        <item x="0"/>
        <item x="1"/>
        <item x="2"/>
        <item x="3"/>
        <item x="5"/>
        <item x="4"/>
        <item x="6"/>
        <item x="11"/>
        <item x="7"/>
        <item x="8"/>
        <item x="9"/>
        <item x="10"/>
        <item x="12"/>
        <item m="1" x="15"/>
        <item m="1" x="14"/>
        <item m="1" x="16"/>
        <item t="default"/>
      </items>
    </pivotField>
    <pivotField numFmtId="44" showAll="0"/>
    <pivotField numFmtId="44"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"/>
    <field x="3"/>
    <field x="4"/>
  </rowFields>
  <rowItems count="26">
    <i>
      <x/>
    </i>
    <i r="1">
      <x/>
    </i>
    <i r="2">
      <x v="19"/>
    </i>
    <i>
      <x v="1"/>
    </i>
    <i r="1">
      <x v="1"/>
    </i>
    <i r="2">
      <x/>
    </i>
    <i r="1">
      <x v="2"/>
    </i>
    <i r="2">
      <x v="9"/>
    </i>
    <i r="1">
      <x v="4"/>
    </i>
    <i r="2">
      <x v="8"/>
    </i>
    <i r="2">
      <x v="12"/>
    </i>
    <i r="2">
      <x v="24"/>
    </i>
    <i r="1">
      <x v="5"/>
    </i>
    <i r="2">
      <x v="23"/>
    </i>
    <i r="1">
      <x v="7"/>
    </i>
    <i r="2">
      <x v="10"/>
    </i>
    <i r="2">
      <x v="16"/>
    </i>
    <i r="1">
      <x v="8"/>
    </i>
    <i r="2">
      <x v="14"/>
    </i>
    <i r="1">
      <x v="9"/>
    </i>
    <i r="2">
      <x v="2"/>
    </i>
    <i r="2">
      <x v="13"/>
    </i>
    <i>
      <x v="2"/>
    </i>
    <i r="1">
      <x v="6"/>
    </i>
    <i r="2">
      <x v="20"/>
    </i>
    <i t="grand">
      <x/>
    </i>
  </rowItems>
  <colFields count="1">
    <field x="18"/>
  </colFields>
  <col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oma de Valor Real" fld="21" baseField="5" baseItem="10" numFmtId="44"/>
  </dataFields>
  <formats count="21">
    <format dxfId="349">
      <pivotArea outline="0" collapsedLevelsAreSubtotals="1" fieldPosition="0"/>
    </format>
    <format dxfId="348">
      <pivotArea type="all" dataOnly="0" outline="0" fieldPosition="0"/>
    </format>
    <format dxfId="347">
      <pivotArea outline="0" collapsedLevelsAreSubtotals="1" fieldPosition="0"/>
    </format>
    <format dxfId="346">
      <pivotArea type="origin" dataOnly="0" labelOnly="1" outline="0" fieldPosition="0"/>
    </format>
    <format dxfId="345">
      <pivotArea field="18" type="button" dataOnly="0" labelOnly="1" outline="0" axis="axisCol" fieldPosition="0"/>
    </format>
    <format dxfId="344">
      <pivotArea type="topRight" dataOnly="0" labelOnly="1" outline="0" fieldPosition="0"/>
    </format>
    <format dxfId="343">
      <pivotArea field="2" type="button" dataOnly="0" labelOnly="1" outline="0" axis="axisRow" fieldPosition="0"/>
    </format>
    <format dxfId="342">
      <pivotArea dataOnly="0" labelOnly="1" fieldPosition="0">
        <references count="1">
          <reference field="2" count="0"/>
        </references>
      </pivotArea>
    </format>
    <format dxfId="341">
      <pivotArea dataOnly="0" labelOnly="1" grandRow="1" outline="0" fieldPosition="0"/>
    </format>
    <format dxfId="340">
      <pivotArea dataOnly="0" labelOnly="1" fieldPosition="0">
        <references count="2">
          <reference field="2" count="1" selected="0">
            <x v="0"/>
          </reference>
          <reference field="3" count="1">
            <x v="0"/>
          </reference>
        </references>
      </pivotArea>
    </format>
    <format dxfId="339">
      <pivotArea dataOnly="0" labelOnly="1" fieldPosition="0">
        <references count="2">
          <reference field="2" count="1" selected="0">
            <x v="1"/>
          </reference>
          <reference field="3" count="5">
            <x v="1"/>
            <x v="4"/>
            <x v="7"/>
            <x v="8"/>
            <x v="9"/>
          </reference>
        </references>
      </pivotArea>
    </format>
    <format dxfId="338">
      <pivotArea dataOnly="0" labelOnly="1" fieldPosition="0">
        <references count="2">
          <reference field="2" count="1" selected="0">
            <x v="2"/>
          </reference>
          <reference field="3" count="1">
            <x v="6"/>
          </reference>
        </references>
      </pivotArea>
    </format>
    <format dxfId="337">
      <pivotArea dataOnly="0" labelOnly="1" fieldPosition="0">
        <references count="3">
          <reference field="2" count="1" selected="0">
            <x v="0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336">
      <pivotArea dataOnly="0" labelOnly="1" fieldPosition="0">
        <references count="3">
          <reference field="2" count="1" selected="0">
            <x v="1"/>
          </reference>
          <reference field="3" count="1" selected="0">
            <x v="1"/>
          </reference>
          <reference field="4" count="1">
            <x v="0"/>
          </reference>
        </references>
      </pivotArea>
    </format>
    <format dxfId="335">
      <pivotArea dataOnly="0" labelOnly="1" fieldPosition="0">
        <references count="3">
          <reference field="2" count="1" selected="0">
            <x v="1"/>
          </reference>
          <reference field="3" count="1" selected="0">
            <x v="4"/>
          </reference>
          <reference field="4" count="2">
            <x v="8"/>
            <x v="12"/>
          </reference>
        </references>
      </pivotArea>
    </format>
    <format dxfId="334">
      <pivotArea dataOnly="0" labelOnly="1" fieldPosition="0">
        <references count="3">
          <reference field="2" count="1" selected="0">
            <x v="1"/>
          </reference>
          <reference field="3" count="1" selected="0">
            <x v="7"/>
          </reference>
          <reference field="4" count="2">
            <x v="10"/>
            <x v="16"/>
          </reference>
        </references>
      </pivotArea>
    </format>
    <format dxfId="333">
      <pivotArea dataOnly="0" labelOnly="1" fieldPosition="0">
        <references count="3">
          <reference field="2" count="1" selected="0">
            <x v="1"/>
          </reference>
          <reference field="3" count="1" selected="0">
            <x v="8"/>
          </reference>
          <reference field="4" count="1">
            <x v="14"/>
          </reference>
        </references>
      </pivotArea>
    </format>
    <format dxfId="332">
      <pivotArea dataOnly="0" labelOnly="1" fieldPosition="0">
        <references count="3">
          <reference field="2" count="1" selected="0">
            <x v="1"/>
          </reference>
          <reference field="3" count="1" selected="0">
            <x v="9"/>
          </reference>
          <reference field="4" count="2">
            <x v="2"/>
            <x v="13"/>
          </reference>
        </references>
      </pivotArea>
    </format>
    <format dxfId="331">
      <pivotArea dataOnly="0" labelOnly="1" fieldPosition="0">
        <references count="3">
          <reference field="2" count="1" selected="0">
            <x v="2"/>
          </reference>
          <reference field="3" count="1" selected="0">
            <x v="6"/>
          </reference>
          <reference field="4" count="1">
            <x v="20"/>
          </reference>
        </references>
      </pivotArea>
    </format>
    <format dxfId="330">
      <pivotArea dataOnly="0" labelOnly="1" fieldPosition="0">
        <references count="1">
          <reference field="18" count="0"/>
        </references>
      </pivotArea>
    </format>
    <format dxfId="32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55C2D1-34BA-4ED2-8517-196D1FF31035}" name="Tabela dinâmica1" cacheId="28" applyNumberFormats="0" applyBorderFormats="0" applyFontFormats="0" applyPatternFormats="0" applyAlignmentFormats="0" applyWidthHeightFormats="1" dataCaption="Valores" grandTotalCaption="Balanço" showMissing="0" updatedVersion="7" minRefreshableVersion="3" itemPrintTitles="1" createdVersion="6" indent="0" outline="1" outlineData="1" multipleFieldFilters="0" rowHeaderCaption="Meses">
  <location ref="B4:F19" firstHeaderRow="1" firstDataRow="2" firstDataCol="1"/>
  <pivotFields count="23">
    <pivotField showAll="0"/>
    <pivotField showAll="0"/>
    <pivotField axis="axisCol" showAll="0">
      <items count="5">
        <item x="0"/>
        <item x="2"/>
        <item x="1"/>
        <item m="1" x="3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numFmtId="44" showAll="0"/>
    <pivotField numFmtId="14" showAll="0"/>
    <pivotField showAll="0"/>
    <pivotField showAll="0"/>
    <pivotField showAll="0"/>
    <pivotField showAll="0"/>
    <pivotField showAll="0"/>
    <pivotField numFmtId="14" showAll="0"/>
    <pivotField axis="axisRow" showAll="0" sortType="ascending">
      <items count="18">
        <item m="1" x="13"/>
        <item x="10"/>
        <item x="0"/>
        <item x="1"/>
        <item x="2"/>
        <item x="3"/>
        <item x="5"/>
        <item x="4"/>
        <item x="6"/>
        <item x="11"/>
        <item x="7"/>
        <item x="8"/>
        <item x="9"/>
        <item x="12"/>
        <item m="1" x="15"/>
        <item m="1" x="14"/>
        <item m="1" x="16"/>
        <item t="default"/>
      </items>
    </pivotField>
    <pivotField dataField="1" numFmtId="44" showAll="0"/>
    <pivotField numFmtId="4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8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oma de Valor Balanço" fld="19" baseField="0" baseItem="0" numFmtId="167"/>
  </dataFields>
  <formats count="15">
    <format dxfId="150">
      <pivotArea outline="0" collapsedLevelsAreSubtotals="1" fieldPosition="0"/>
    </format>
    <format dxfId="149">
      <pivotArea outline="0" collapsedLevelsAreSubtotals="1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grandCol="1" outline="0" fieldPosition="0"/>
    </format>
    <format dxfId="146">
      <pivotArea dataOnly="0" labelOnly="1" fieldPosition="0">
        <references count="1">
          <reference field="18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">
      <pivotArea dataOnly="0" labelOnly="1" fieldPosition="0">
        <references count="1">
          <reference field="18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4">
      <pivotArea dataOnly="0" labelOnly="1" fieldPosition="0">
        <references count="1">
          <reference field="18" count="1">
            <x v="0"/>
          </reference>
        </references>
      </pivotArea>
    </format>
    <format dxfId="143">
      <pivotArea dataOnly="0" labelOnly="1" fieldPosition="0">
        <references count="1">
          <reference field="18" count="1">
            <x v="1"/>
          </reference>
        </references>
      </pivotArea>
    </format>
    <format dxfId="142">
      <pivotArea collapsedLevelsAreSubtotals="1" fieldPosition="0">
        <references count="1">
          <reference field="18" count="0"/>
        </references>
      </pivotArea>
    </format>
    <format dxfId="141">
      <pivotArea dataOnly="0" labelOnly="1" fieldPosition="0">
        <references count="1">
          <reference field="18" count="1">
            <x v="13"/>
          </reference>
        </references>
      </pivotArea>
    </format>
    <format dxfId="140">
      <pivotArea dataOnly="0" labelOnly="1" fieldPosition="0">
        <references count="1">
          <reference field="18" count="0"/>
        </references>
      </pivotArea>
    </format>
    <format dxfId="139">
      <pivotArea type="origin" dataOnly="0" labelOnly="1" outline="0" fieldPosition="0"/>
    </format>
    <format dxfId="138">
      <pivotArea field="18" type="button" dataOnly="0" labelOnly="1" outline="0" axis="axisRow" fieldPosition="0"/>
    </format>
    <format dxfId="137">
      <pivotArea dataOnly="0" labelOnly="1" fieldPosition="0">
        <references count="1">
          <reference field="18" count="0"/>
        </references>
      </pivotArea>
    </format>
    <format dxfId="136">
      <pivotArea dataOnly="0" labelOnly="1" grandRow="1" outline="0" fieldPosition="0"/>
    </format>
  </formats>
  <pivotTableStyleInfo name="PivotStyleDark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4D9B4-29C5-48DF-BA02-8B2F40A03724}" name="Tabela_Movimentacao" displayName="Tabela_Movimentacao" ref="A10:V361" totalsRowShown="0" headerRowDxfId="177" dataDxfId="175" headerRowBorderDxfId="176" tableBorderDxfId="174" totalsRowBorderDxfId="173">
  <autoFilter ref="A10:V361" xr:uid="{7014D9B4-29C5-48DF-BA02-8B2F40A03724}">
    <filterColumn colId="5">
      <filters>
        <filter val="Juros Mensalidade 5"/>
        <filter val="Mensalidade 5 de 12 ano 1"/>
      </filters>
    </filterColumn>
    <filterColumn colId="16">
      <filters>
        <filter val="Vencido"/>
      </filters>
    </filterColumn>
  </autoFilter>
  <sortState xmlns:xlrd2="http://schemas.microsoft.com/office/spreadsheetml/2017/richdata2" ref="A11:V174">
    <sortCondition ref="G11:G174"/>
    <sortCondition ref="F11:F174"/>
    <sortCondition descending="1" ref="A11:A174"/>
  </sortState>
  <tableColumns count="22">
    <tableColumn id="19" xr3:uid="{6C9FB854-D5E0-48B8-9428-58A202DB59F8}" name="Entrada" dataDxfId="172">
      <calculatedColumnFormula>"E"&amp;ROW()-10</calculatedColumnFormula>
    </tableColumn>
    <tableColumn id="4" xr3:uid="{E54A5F72-6AD2-40D5-97B3-4E5B8D329D44}" name="Link" dataDxfId="171">
      <calculatedColumnFormula>"FILE"</calculatedColumnFormula>
    </tableColumn>
    <tableColumn id="17" xr3:uid="{B75884E3-A6C4-442B-8C6B-8AFB1AB6A7E8}" name="Tipo" dataDxfId="170"/>
    <tableColumn id="5" xr3:uid="{8A0154E4-845A-4756-96CD-E02315847879}" name="Categoria" dataDxfId="169"/>
    <tableColumn id="11" xr3:uid="{A40F22B7-3267-476F-87A1-88CAA604390B}" name="Subcategoria" dataDxfId="168"/>
    <tableColumn id="2" xr3:uid="{11AFAF1F-6D61-4A85-9FD5-157C2C92061C}" name="Descrição" dataDxfId="167"/>
    <tableColumn id="7" xr3:uid="{21DAD4E4-C48B-444C-AA14-60109963A4AD}" name="Data Entrada" dataDxfId="166"/>
    <tableColumn id="41" xr3:uid="{8CD3D869-7985-4900-9A59-501EE4461DC9}" name="Pagador" dataDxfId="165"/>
    <tableColumn id="3" xr3:uid="{5D84B561-93DC-4FB3-A540-8FC1D8DC8F60}" name="Recebedor" dataDxfId="164"/>
    <tableColumn id="1" xr3:uid="{376C732E-B946-463C-B11D-0B77A5C398C2}" name="Negócio" dataDxfId="163"/>
    <tableColumn id="6" xr3:uid="{4D37F7DC-A913-46F5-A0E8-E95E55A305FC}" name="Valor" dataDxfId="162"/>
    <tableColumn id="8" xr3:uid="{47018D37-8AFB-4838-AD87-AEFBEFF11881}" name="Vencimento" dataDxfId="161"/>
    <tableColumn id="12" xr3:uid="{AF984336-7576-47A9-841D-F4BD48626C83}" name="Modo Pagamento" dataDxfId="160"/>
    <tableColumn id="14" xr3:uid="{BDE34F1B-7476-4950-9636-D4C40968D172}" name="Cancelar" dataDxfId="159"/>
    <tableColumn id="13" xr3:uid="{F461F8DF-8C48-4EB7-BEEF-07FAD3CBC05D}" name="Prorrogar" dataDxfId="158"/>
    <tableColumn id="9" xr3:uid="{622DBE6E-2D65-4778-9B30-FE9C369CBB35}" name="Pagamento" dataDxfId="157"/>
    <tableColumn id="10" xr3:uid="{95786A51-9004-4EC3-9612-4EF64625EC8E}" name="Status" dataDxfId="156">
      <calculatedColumnFormula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calculatedColumnFormula>
    </tableColumn>
    <tableColumn id="16" xr3:uid="{0F89931D-7840-41F5-9819-4D89DC966DD8}" name="Vencimento Útil" dataDxfId="155">
      <calculatedColumnFormula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calculatedColumnFormula>
    </tableColumn>
    <tableColumn id="24" xr3:uid="{835301D0-8434-49C8-818D-582FFBE330BB}" name="Mês Referência" dataDxfId="154">
      <calculatedColumnFormula>IF(DATE(YEAR(Tabela_Movimentacao[[#This Row],[Pagamento]]),MONTH(Tabela_Movimentacao[[#This Row],[Pagamento]]),1)=1,"Provisionado",DATE(YEAR(Tabela_Movimentacao[[#This Row],[Pagamento]]),MONTH(Tabela_Movimentacao[[#This Row],[Pagamento]]),1))</calculatedColumnFormula>
    </tableColumn>
    <tableColumn id="18" xr3:uid="{E55EAA12-B2E0-4510-A99D-3361F09028B8}" name="Valor Balanço" dataDxfId="153">
      <calculatedColumnFormula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calculatedColumnFormula>
    </tableColumn>
    <tableColumn id="15" xr3:uid="{563C2542-A33D-422D-AC53-D991A4D5E2A2}" name="Valor Fluxo" dataDxfId="152">
      <calculatedColumnFormula>IF(OR(Tabela_Movimentacao[[#This Row],[Status]]="Em Aberto",Tabela_Movimentacao[[#This Row],[Status]]="Prorrogado"),Tabela_Movimentacao[[#This Row],[Valor]],0)</calculatedColumnFormula>
    </tableColumn>
    <tableColumn id="42" xr3:uid="{EA4B888E-43B2-49B4-A59C-4EE51DD6AE04}" name="Valor Real" dataDxfId="151">
      <calculatedColumnFormula>IF(Tabela_Movimentacao[[#This Row],[Status]]="Cancelado","",IF(Tabela_Movimentacao[[#This Row],[Status]]&lt;&gt;"Pago","",Tabela_Movimentacao[[#This Row],[Valor]]))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E00566-6BF5-455C-8EDD-8A158828D2D7}" name="Tabela_Reservas" displayName="Tabela_Reservas" ref="A6:M8" totalsRowShown="0" headerRowDxfId="133" dataDxfId="131" headerRowBorderDxfId="132" tableBorderDxfId="130" totalsRowBorderDxfId="129">
  <autoFilter ref="A6:M8" xr:uid="{4049FC59-23C4-44D4-9CFF-58DD54140D6F}"/>
  <tableColumns count="13">
    <tableColumn id="14" xr3:uid="{3E8FDE18-A65F-433B-95AB-2DCDFA1DC8F1}" name="Conc_UNID_Stat" dataDxfId="128">
      <calculatedColumnFormula>Tabela_Reservas[[#This Row],[Unidade]]&amp;Tabela_Reservas[[#This Row],[Status]]</calculatedColumnFormula>
    </tableColumn>
    <tableColumn id="17" xr3:uid="{15E5D82D-518E-45A1-973E-E3D3BF54630D}" name="Unidade" dataDxfId="127"/>
    <tableColumn id="1" xr3:uid="{0473D68E-9D8E-4929-94A1-7FD50250E75E}" name="Locatário" dataDxfId="126"/>
    <tableColumn id="2" xr3:uid="{7B151A08-AF42-447B-91F2-1BC66D74380E}" name="CPF/CNPJ" dataDxfId="125"/>
    <tableColumn id="15" xr3:uid="{B2B3238D-5486-408A-91A7-F636CBC5D0D0}" name="Valor Mensal" dataDxfId="124"/>
    <tableColumn id="3" xr3:uid="{7EA1BC5A-BDCF-46BC-8494-5ACC49FE3E5C}" name="Período Inicial" dataDxfId="123"/>
    <tableColumn id="4" xr3:uid="{13B2937B-5488-4991-9AEB-4577A2C449B9}" name="Período Final" dataDxfId="122"/>
    <tableColumn id="5" xr3:uid="{9B59CD6C-7F71-420B-935B-4BC2524840DE}" name="Status" dataDxfId="121">
      <calculatedColumnFormula>IF(Tabela_Reservas[[#This Row],[Período Inicial]]&gt;Tabela_Reservas[[#This Row],[Período Final]],"Verificar Datas",IF(Tabela_Reservas[[#This Row],[Período Inicial]]="","",IF(AND(TODAY()&gt;=Tabela_Reservas[[#This Row],[Período Inicial]],TODAY()&lt;=Tabela_Reservas[[#This Row],[Período Final]]),"Vigente",IF(TODAY()&lt;Tabela_Reservas[[#This Row],[Período Inicial]],"Futura","Concluída"))))</calculatedColumnFormula>
    </tableColumn>
    <tableColumn id="16" xr3:uid="{E1395858-9707-47E5-9548-EC331D81B3FC}" name="Conflito" dataDxfId="120">
      <calculatedColumnFormula>IF(Tabela_Reservas[[#This Row],[Status]]="Verificar Datas","-",IF(COUNTIFS(Tabela_Reservas[Unidade],Tabela_Reservas[[#This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Final]])=0,"",IF(COUNTIFS(Tabela_Reservas[Unidade],Tabela_Reservas[[#This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Final]])&lt;=2,"OK","Conflito")))</calculatedColumnFormula>
    </tableColumn>
    <tableColumn id="6" xr3:uid="{B754A78C-A5F8-4335-A945-9295E8C092C9}" name="Responsável" dataDxfId="119"/>
    <tableColumn id="7" xr3:uid="{2673EE17-8D8E-412A-AF37-2A342B6F2154}" name="Telefone" dataDxfId="118"/>
    <tableColumn id="9" xr3:uid="{51B4799D-EAB6-4AEB-B18A-8ED869A0F4C5}" name="e-mail" dataDxfId="117"/>
    <tableColumn id="8" xr3:uid="{6CD15A02-182B-4A0D-9DDE-78C4176F4D22}" name="Endereço" dataDxfId="11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2D5D9C-F7A3-41FB-96DF-208A58B059D1}" name="Tabela_Unidades" displayName="Tabela_Unidades" ref="A4:T15" totalsRowShown="0" headerRowDxfId="104" dataDxfId="102" headerRowBorderDxfId="103" tableBorderDxfId="101" totalsRowBorderDxfId="100">
  <tableColumns count="20">
    <tableColumn id="6" xr3:uid="{3890A483-D44C-4FE4-A00A-DA34403B5384}" name="Unidade" dataDxfId="99"/>
    <tableColumn id="21" xr3:uid="{195805CA-7CDF-4D42-9CB9-278B778D905E}" name="Negócio" dataDxfId="98"/>
    <tableColumn id="2" xr3:uid="{4AC88D82-2CFA-43E9-ABD3-39CD1E8A6964}" name="m²" dataDxfId="97"/>
    <tableColumn id="3" xr3:uid="{E625C13F-2194-4BDC-99C8-9EF987E80517}" name="Preço Atual" dataDxfId="96"/>
    <tableColumn id="1" xr3:uid="{7A50D142-E50F-4D48-894A-8414E3EBD869}" name="Taxa Manutenção" dataDxfId="95"/>
    <tableColumn id="7" xr3:uid="{F1560BCD-0918-47C1-8237-E86C59BE470C}" name="Taxa de Mobilização" dataDxfId="94"/>
    <tableColumn id="4" xr3:uid="{C6248CD8-13E1-41CF-84F4-53DA081D1307}" name="Contratante Atual" dataDxfId="93">
      <calculatedColumnFormula>IFERROR(VLOOKUP(Tabela_Unidades[[#This Row],[Unidade]]&amp;"Vigente",Tabela_Reservas[[Conc_UNID_Stat]:[Locatário]],3,0),"")</calculatedColumnFormula>
    </tableColumn>
    <tableColumn id="10" xr3:uid="{11ABBB1C-550A-41D3-92D9-C92C6908CA79}" name="Início Contrato" dataDxfId="92">
      <calculatedColumnFormula>IFERROR(VLOOKUP(Tabela_Unidades[[#This Row],[Unidade]]&amp;"Vigente",Tabela_Reservas[[Conc_UNID_Stat]:[Período Final]],6,0),"")</calculatedColumnFormula>
    </tableColumn>
    <tableColumn id="9" xr3:uid="{A660F58A-9DCB-4B70-A328-C04C7D28270A}" name="Fim do Contrato" dataDxfId="91">
      <calculatedColumnFormula>IFERROR(VLOOKUP(Tabela_Unidades[[#This Row],[Unidade]]&amp;"Vigente",Tabela_Reservas[[Conc_UNID_Stat]:[Período Final]],7,0),"")</calculatedColumnFormula>
    </tableColumn>
    <tableColumn id="5" xr3:uid="{40F37BFD-F759-44DC-8879-7E5E00F4B1AF}" name="Status" dataDxfId="90">
      <calculatedColumnFormula>IF(Tabela_Unidades[[#This Row],[Início Contrato]]="","Vacante","Locado")</calculatedColumnFormula>
    </tableColumn>
    <tableColumn id="11" xr3:uid="{134F7D0A-A39E-4E2A-A265-3B32B7E4E97A}" name="Situação" dataDxfId="89">
      <calculatedColumnFormula>IF(Tabela_Unidades[[#This Row],[Status]]="Vacante","-",IF(Tabela_Unidades[[#This Row],[Contratante Atual]]="","",IF(Tabela_Unidades[[#This Row],[Dívidas ex-Juros Multa]]&gt;0,"Inadimplente","Adimplente")))</calculatedColumnFormula>
    </tableColumn>
    <tableColumn id="16" xr3:uid="{8308409C-71B6-4D4A-BB20-6CEE05D0E93A}" name="Dívidas ex-Juros Multa" dataDxfId="88">
      <calculatedColumnFormula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calculatedColumnFormula>
    </tableColumn>
    <tableColumn id="12" xr3:uid="{DE28BA99-9080-4AAA-92C0-83913E2044B3}" name="Duração Contrato" dataDxfId="87">
      <calculatedColumnFormula>INT((Tabela_Unidades[[#This Row],[Fim do Contrato]]-Tabela_Unidades[[#This Row],[Início Contrato]])/30.4375)</calculatedColumnFormula>
    </tableColumn>
    <tableColumn id="13" xr3:uid="{8ED14D4E-E5AC-4E4F-A2B1-BA089BC9E685}" name="Meses Usados" dataDxfId="86">
      <calculatedColumnFormula>IF(Tabela_Unidades[[#This Row],[Início Contrato]]="",0,INT((TODAY()-Tabela_Unidades[[#This Row],[Início Contrato]])/30.4375))</calculatedColumnFormula>
    </tableColumn>
    <tableColumn id="17" xr3:uid="{B01326AB-4893-419E-B927-BF59BC816907}" name="Meses p/ Expirar" dataDxfId="85">
      <calculatedColumnFormula>Tabela_Unidades[[#This Row],[Duração Contrato]]-Tabela_Unidades[[#This Row],[Meses Usados]]</calculatedColumnFormula>
    </tableColumn>
    <tableColumn id="14" xr3:uid="{EDCE94B8-312A-478F-B5EB-9B27D65AE2B9}" name="Meses Pagos" dataDxfId="84">
      <calculatedColumnFormula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calculatedColumnFormula>
    </tableColumn>
    <tableColumn id="18" xr3:uid="{8AF70EEC-7EC7-40B0-B4B6-F185EC48B355}" name="Taxa Mobilização" dataDxfId="83">
      <calculatedColumnFormula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calculatedColumnFormula>
    </tableColumn>
    <tableColumn id="15" xr3:uid="{CBC12ED8-9CB4-4165-A04C-116510B6B6E7}" name="Meses em Aberto" dataDxfId="82">
      <calculatedColumnFormula>Tabela_Unidades[[#This Row],[Meses Usados]]-Tabela_Unidades[[#This Row],[Meses Pagos]]</calculatedColumnFormula>
    </tableColumn>
    <tableColumn id="20" xr3:uid="{A84167D8-6F42-4C3D-90B8-AF769E424BE7}" name="Dívida Total" dataDxfId="81">
      <calculatedColumnFormula>IFERROR(ROW()/10000000+Tabela_Unidades[[#This Row],[Dívidas ex-Juros Multa]],"")</calculatedColumnFormula>
    </tableColumn>
    <tableColumn id="22" xr3:uid="{7171EB1F-0356-4979-926F-1A281A0C63F6}" name="UNID" dataDxfId="80">
      <calculatedColumnFormula>#REF!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187E144-AE8B-492B-A417-7C59D41D3044}" name="Tabela7" displayName="Tabela7" ref="B4:F7" totalsRowShown="0" headerRowDxfId="79" dataDxfId="77" headerRowBorderDxfId="78" tableBorderDxfId="76" totalsRowBorderDxfId="75">
  <tableColumns count="5">
    <tableColumn id="1" xr3:uid="{4F1F98F8-D78C-495A-BAA8-58E85D98612D}" name="Rank" dataDxfId="74">
      <calculatedColumnFormula>Tabela7[[#This Row],[Data Término]]+ROW()/10000000</calculatedColumnFormula>
    </tableColumn>
    <tableColumn id="5" xr3:uid="{54D62AD9-D6C0-43BD-9183-01983073FCE2}" name="Referência" dataDxfId="73"/>
    <tableColumn id="2" xr3:uid="{490E1FA5-7A5B-40C9-80AC-68FF56ED85B3}" name="Fornecedor" dataDxfId="72"/>
    <tableColumn id="3" xr3:uid="{0B54C73B-9E63-4928-B406-AF0B7F013708}" name="Data Início" dataDxfId="71"/>
    <tableColumn id="4" xr3:uid="{7224465D-E75D-4F90-BFE0-80D50A6A8B6E}" name="Data Término" dataDxfId="70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6A8F44-9687-447B-8171-0317B9E3777C}" name="Tabela8" displayName="Tabela8" ref="B5:G43" totalsRowShown="0" headerRowDxfId="69" dataDxfId="67" headerRowBorderDxfId="68" tableBorderDxfId="66" totalsRowBorderDxfId="65">
  <autoFilter ref="B5:G43" xr:uid="{D53E2D2B-C4EB-43B6-A12E-298BA515D6E0}"/>
  <sortState xmlns:xlrd2="http://schemas.microsoft.com/office/spreadsheetml/2017/richdata2" ref="B6:G36">
    <sortCondition ref="B5:B36"/>
  </sortState>
  <tableColumns count="6">
    <tableColumn id="1" xr3:uid="{57BEF2A7-9BEA-4762-A85D-0F933DAB75FB}" name="Fornecedor" dataDxfId="64"/>
    <tableColumn id="2" xr3:uid="{44DAFF78-8B22-40BA-B781-36D8F36EF7B4}" name="Atividade" dataDxfId="63"/>
    <tableColumn id="3" xr3:uid="{1C29A297-41BB-4E7D-9B43-763B6F61712F}" name="CNPJ/CPF" dataDxfId="62"/>
    <tableColumn id="6" xr3:uid="{C39B2A8F-B3C7-41BA-B5B5-D27979F3CCCE}" name="Responsável" dataDxfId="61"/>
    <tableColumn id="4" xr3:uid="{4139023A-F7F3-4700-BDD5-0BD94B64F7BC}" name="Contato" dataDxfId="60"/>
    <tableColumn id="5" xr3:uid="{53EE24F6-FA2D-4892-BDCE-59BD7633D6BB}" name="Obs" dataDxfId="5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077F5-713C-49E3-BDAA-863E8FBF37D1}" name="Tabela3" displayName="Tabela3" ref="A5:K6" totalsRowShown="0" headerRowDxfId="58" dataDxfId="56" headerRowBorderDxfId="57" tableBorderDxfId="55" totalsRowBorderDxfId="54">
  <autoFilter ref="A5:K6" xr:uid="{15A15BBE-3341-43FE-843A-680D4F9DA850}"/>
  <tableColumns count="11">
    <tableColumn id="1" xr3:uid="{F4568ED7-5A85-4174-B7FD-15422A4B0FB3}" name="Cadastro" dataDxfId="53"/>
    <tableColumn id="2" xr3:uid="{23AEC837-FBCD-44E6-A455-0310B47954CE}" name="Funcionário" dataDxfId="52"/>
    <tableColumn id="3" xr3:uid="{FB1286E4-AF65-4964-94C8-A3D0EB699AE8}" name="CPF" dataDxfId="51"/>
    <tableColumn id="4" xr3:uid="{EFCEE4B4-B92D-4FB8-B4F6-8763139A8D08}" name="RG" dataDxfId="50"/>
    <tableColumn id="11" xr3:uid="{906D2420-6DD3-40F0-9045-2F5B5F4D1550}" name="CTPS" dataDxfId="49"/>
    <tableColumn id="5" xr3:uid="{24CA57DA-B738-4C2D-A16A-112A416C705C}" name="Cargo" dataDxfId="48"/>
    <tableColumn id="10" xr3:uid="{9DBE15FD-EDDF-4F1D-83C4-9A2210D069C6}" name="Aniversário" dataDxfId="47"/>
    <tableColumn id="6" xr3:uid="{AAC759AF-F40A-49FA-A635-B6FF8AAC66A0}" name="Data Contratação" dataDxfId="46"/>
    <tableColumn id="7" xr3:uid="{AE9682A2-2062-459C-9FF6-846EA42CE2EF}" name="Data Desligamento" dataDxfId="45"/>
    <tableColumn id="8" xr3:uid="{CB778F9E-2D6F-4D8E-9D6C-61CEC34D4B64}" name="Salário Base" dataDxfId="44"/>
    <tableColumn id="9" xr3:uid="{98748062-DE34-4B70-8865-9B1F1D8C3A6A}" name="Limite Férias" dataDxfId="4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B07D9B-202D-46D8-908F-713ACAC579AF}" name="Tabela_Feriado" displayName="Tabela_Feriado" ref="T1:U85" totalsRowShown="0" headerRowDxfId="42" dataDxfId="41">
  <autoFilter ref="T1:U85" xr:uid="{89EE6385-80E2-4628-B341-E5A541FE4463}"/>
  <tableColumns count="2">
    <tableColumn id="1" xr3:uid="{9B23D3CD-FF62-4352-9362-B875E25E4B5F}" name="Feriado" dataDxfId="40"/>
    <tableColumn id="2" xr3:uid="{741E36E8-7AEB-4021-ABA4-2BF2FAE552FA}" name="Comemoração" dataDxfId="3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891506-BC9E-4B39-A3A6-A53F37B1696A}" name="Tabela9" displayName="Tabela9" ref="M9:M10" insertRow="1" totalsRowShown="0" headerRowDxfId="38" dataDxfId="37" tableBorderDxfId="36">
  <autoFilter ref="M9:M10" xr:uid="{DC7C332E-A3CF-4F02-8AFB-027788FC3B77}"/>
  <tableColumns count="1">
    <tableColumn id="1" xr3:uid="{BFA3F5B0-1EA1-42C2-B40D-78D17F253C78}" name="Empréstimo" dataDxfId="3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06BCB67-AEDE-49E9-BD68-C61AC07A1106}" name="Tabela911" displayName="Tabela911" ref="O9:O10" insertRow="1" totalsRowShown="0" headerRowDxfId="34" dataDxfId="33" tableBorderDxfId="32">
  <autoFilter ref="O9:O10" xr:uid="{7F108B19-6F00-4FCD-B3E7-A751C4941164}"/>
  <tableColumns count="1">
    <tableColumn id="1" xr3:uid="{64D5D36D-67BA-414C-AE4E-7DE2EE67B58A}" name="Investidor" dataDxfId="3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14A398-6EC5-4861-95ED-80B1E2C65E4A}" name="Tabela6" displayName="Tabela6" ref="AA1:AA2" totalsRowShown="0" headerRowDxfId="30" dataDxfId="29" tableBorderDxfId="28">
  <autoFilter ref="AA1:AA2" xr:uid="{E37396F8-01A8-4B38-BA90-65B011904DF8}"/>
  <tableColumns count="1">
    <tableColumn id="1" xr3:uid="{A23C62CD-EF1E-4643-ADC8-998704814A09}" name="Negócio" dataDxfId="2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Pagamentos\E162%20-%20E163%20CO.jpeg" TargetMode="External"/><Relationship Id="rId21" Type="http://schemas.openxmlformats.org/officeDocument/2006/relationships/hyperlink" Target="Pagamentos\E287%20-%20E288%20CO.pdf" TargetMode="External"/><Relationship Id="rId63" Type="http://schemas.openxmlformats.org/officeDocument/2006/relationships/hyperlink" Target="Pagamentos\E227%20-%20E228%20CO.pdf" TargetMode="External"/><Relationship Id="rId159" Type="http://schemas.openxmlformats.org/officeDocument/2006/relationships/hyperlink" Target="Pagamentos\E120%20CO.pdf" TargetMode="External"/><Relationship Id="rId170" Type="http://schemas.openxmlformats.org/officeDocument/2006/relationships/hyperlink" Target="Pagamentos\E108%20-%20E109%20CO.pdf" TargetMode="External"/><Relationship Id="rId226" Type="http://schemas.openxmlformats.org/officeDocument/2006/relationships/hyperlink" Target="Pagamentos\E50%20-%20E52%20CO.pdf" TargetMode="External"/><Relationship Id="rId268" Type="http://schemas.openxmlformats.org/officeDocument/2006/relationships/hyperlink" Target="Pagamentos\E9%20-%20E10%20CO.pdf" TargetMode="External"/><Relationship Id="rId32" Type="http://schemas.openxmlformats.org/officeDocument/2006/relationships/hyperlink" Target="Pagamentos\E267%20-%20E268%20CO.pdf" TargetMode="External"/><Relationship Id="rId74" Type="http://schemas.openxmlformats.org/officeDocument/2006/relationships/hyperlink" Target="Pagamentos\E215%20-%20E216%20CO.jpeg" TargetMode="External"/><Relationship Id="rId128" Type="http://schemas.openxmlformats.org/officeDocument/2006/relationships/hyperlink" Target="Pagamentos\E151%20-%20E152%20CO.jpeg" TargetMode="External"/><Relationship Id="rId5" Type="http://schemas.openxmlformats.org/officeDocument/2006/relationships/hyperlink" Target="Pagamentos\E182%20-%20E183%20CO.pdf" TargetMode="External"/><Relationship Id="rId181" Type="http://schemas.openxmlformats.org/officeDocument/2006/relationships/hyperlink" Target="Pagamentos\E97%20-%20E98%20CO.jpeg" TargetMode="External"/><Relationship Id="rId237" Type="http://schemas.openxmlformats.org/officeDocument/2006/relationships/hyperlink" Target="Pagamentos\E41%20-%20E42%20CO.pdf" TargetMode="External"/><Relationship Id="rId279" Type="http://schemas.openxmlformats.org/officeDocument/2006/relationships/hyperlink" Target="Pagamentos\E324%20-%20E325%20CO.pdf" TargetMode="External"/><Relationship Id="rId43" Type="http://schemas.openxmlformats.org/officeDocument/2006/relationships/hyperlink" Target="Pagamentos\E247%20-%20E248%20CO.pdf" TargetMode="External"/><Relationship Id="rId139" Type="http://schemas.openxmlformats.org/officeDocument/2006/relationships/hyperlink" Target="Pagamentos\E140%20-%20E141%20CO.jpeg" TargetMode="External"/><Relationship Id="rId290" Type="http://schemas.openxmlformats.org/officeDocument/2006/relationships/hyperlink" Target="Pagamentos\E173%20-%20E350%20-%20E351%20CO.pdf" TargetMode="External"/><Relationship Id="rId85" Type="http://schemas.openxmlformats.org/officeDocument/2006/relationships/hyperlink" Target="Pagamentos\E196%20-%20E197%20CO.jpg" TargetMode="External"/><Relationship Id="rId150" Type="http://schemas.openxmlformats.org/officeDocument/2006/relationships/hyperlink" Target="Pagamentos\E127%20-%20E128%20CO.jpeg" TargetMode="External"/><Relationship Id="rId192" Type="http://schemas.openxmlformats.org/officeDocument/2006/relationships/hyperlink" Target="Pagamentos\E85%20-%20E86%20CO.jpeg" TargetMode="External"/><Relationship Id="rId206" Type="http://schemas.openxmlformats.org/officeDocument/2006/relationships/hyperlink" Target="Pagamentos\E69%20-%20E75%20CO.jpeg" TargetMode="External"/><Relationship Id="rId248" Type="http://schemas.openxmlformats.org/officeDocument/2006/relationships/hyperlink" Target="Pagamentos\E29%20-%20E30%20CO.pdf" TargetMode="External"/><Relationship Id="rId12" Type="http://schemas.openxmlformats.org/officeDocument/2006/relationships/hyperlink" Target="Pagamentos\E308%20-%20E309%20CO.jpeg" TargetMode="External"/><Relationship Id="rId33" Type="http://schemas.openxmlformats.org/officeDocument/2006/relationships/hyperlink" Target="Pagamentos\E265%20-%20E266%20CO.pdf" TargetMode="External"/><Relationship Id="rId108" Type="http://schemas.openxmlformats.org/officeDocument/2006/relationships/hyperlink" Target="Pagamentos\E169%20-%20E210%20-%20E211%20-%20E212%20CO.pdf" TargetMode="External"/><Relationship Id="rId129" Type="http://schemas.openxmlformats.org/officeDocument/2006/relationships/hyperlink" Target="Pagamentos\E151%20-%20E152%20CO.jpeg" TargetMode="External"/><Relationship Id="rId280" Type="http://schemas.openxmlformats.org/officeDocument/2006/relationships/hyperlink" Target="Pagamentos\E326%20-%20E327%20CO.pdf" TargetMode="External"/><Relationship Id="rId54" Type="http://schemas.openxmlformats.org/officeDocument/2006/relationships/hyperlink" Target="Pagamentos\E237%20-%20E238%20CO.jpeg" TargetMode="External"/><Relationship Id="rId75" Type="http://schemas.openxmlformats.org/officeDocument/2006/relationships/hyperlink" Target="Pagamentos\E204%20-%20E205%20-%20E206%20-%20E207%20CO.jpeg" TargetMode="External"/><Relationship Id="rId96" Type="http://schemas.openxmlformats.org/officeDocument/2006/relationships/hyperlink" Target="Pagamentos\E184%20-%20E185%20CO.jpeg" TargetMode="External"/><Relationship Id="rId140" Type="http://schemas.openxmlformats.org/officeDocument/2006/relationships/hyperlink" Target="Pagamentos\E140%20-%20E141%20CO.jpeg" TargetMode="External"/><Relationship Id="rId161" Type="http://schemas.openxmlformats.org/officeDocument/2006/relationships/hyperlink" Target="Pagamentos\E118%20-%20E119%20CO.jpeg" TargetMode="External"/><Relationship Id="rId182" Type="http://schemas.openxmlformats.org/officeDocument/2006/relationships/hyperlink" Target="Pagamentos\E95%20-%20E96%20CO.jpeg" TargetMode="External"/><Relationship Id="rId217" Type="http://schemas.openxmlformats.org/officeDocument/2006/relationships/hyperlink" Target="Pagamentos\E58%20-%20E68%20CO.pdf" TargetMode="External"/><Relationship Id="rId6" Type="http://schemas.openxmlformats.org/officeDocument/2006/relationships/hyperlink" Target="Pagamentos\E320%20-%20E321%20CO.pdf" TargetMode="External"/><Relationship Id="rId238" Type="http://schemas.openxmlformats.org/officeDocument/2006/relationships/hyperlink" Target="Pagamentos\E39%20-%20E40%20CO.pdf" TargetMode="External"/><Relationship Id="rId259" Type="http://schemas.openxmlformats.org/officeDocument/2006/relationships/hyperlink" Target="Pagamentos\E19%20-%20E26%20CO.jpeg" TargetMode="External"/><Relationship Id="rId23" Type="http://schemas.openxmlformats.org/officeDocument/2006/relationships/hyperlink" Target="Pagamentos\E283%20-%20E284%20CO.pdf" TargetMode="External"/><Relationship Id="rId119" Type="http://schemas.openxmlformats.org/officeDocument/2006/relationships/hyperlink" Target="Pagamentos\E160%20-%20161%20CO.pdf" TargetMode="External"/><Relationship Id="rId270" Type="http://schemas.openxmlformats.org/officeDocument/2006/relationships/hyperlink" Target="Pagamentos\E7%20-%20E8%20CO.pdf" TargetMode="External"/><Relationship Id="rId291" Type="http://schemas.openxmlformats.org/officeDocument/2006/relationships/hyperlink" Target="Pagamentos\E173%20-%20E350%20-%20E351%20CO.pdf" TargetMode="External"/><Relationship Id="rId44" Type="http://schemas.openxmlformats.org/officeDocument/2006/relationships/hyperlink" Target="Pagamentos\E247%20-%20E248%20CO.pdf" TargetMode="External"/><Relationship Id="rId65" Type="http://schemas.openxmlformats.org/officeDocument/2006/relationships/hyperlink" Target="Pagamentos\E223%20-%20E224%20CO.pdf" TargetMode="External"/><Relationship Id="rId86" Type="http://schemas.openxmlformats.org/officeDocument/2006/relationships/hyperlink" Target="Pagamentos\E196%20-%20E197%20CO.jpg" TargetMode="External"/><Relationship Id="rId130" Type="http://schemas.openxmlformats.org/officeDocument/2006/relationships/hyperlink" Target="Pagamentos\E147%20-%20E148%20-%20E149%20-%20E150%20CO.jpeg" TargetMode="External"/><Relationship Id="rId151" Type="http://schemas.openxmlformats.org/officeDocument/2006/relationships/hyperlink" Target="Pagamentos\E127%20-%20E128%20CO.jpeg" TargetMode="External"/><Relationship Id="rId172" Type="http://schemas.openxmlformats.org/officeDocument/2006/relationships/hyperlink" Target="Pagamentos\E106%20-%20E107%20CO.jpeg" TargetMode="External"/><Relationship Id="rId193" Type="http://schemas.openxmlformats.org/officeDocument/2006/relationships/hyperlink" Target="Pagamentos\E85%20-%20E86%20CO.jpeg" TargetMode="External"/><Relationship Id="rId207" Type="http://schemas.openxmlformats.org/officeDocument/2006/relationships/hyperlink" Target="Pagamentos\E69%20-%20E75%20CO.jpeg" TargetMode="External"/><Relationship Id="rId228" Type="http://schemas.openxmlformats.org/officeDocument/2006/relationships/hyperlink" Target="Pagamentos\E49%20-%20E51%20CO.jpeg" TargetMode="External"/><Relationship Id="rId249" Type="http://schemas.openxmlformats.org/officeDocument/2006/relationships/hyperlink" Target="Pagamentos\E29%20-%20E30%20CO.pdf" TargetMode="External"/><Relationship Id="rId13" Type="http://schemas.openxmlformats.org/officeDocument/2006/relationships/hyperlink" Target="Pagamentos\E300%20-%20E301%20CO.jpeg" TargetMode="External"/><Relationship Id="rId109" Type="http://schemas.openxmlformats.org/officeDocument/2006/relationships/hyperlink" Target="Pagamentos\E169%20-%20E210%20-%20E211%20-%20E212%20CO.pdf" TargetMode="External"/><Relationship Id="rId260" Type="http://schemas.openxmlformats.org/officeDocument/2006/relationships/hyperlink" Target="Pagamentos\E16%20-%20E18%20CO.pdf" TargetMode="External"/><Relationship Id="rId281" Type="http://schemas.openxmlformats.org/officeDocument/2006/relationships/hyperlink" Target="Pagamentos\E328%20-%20E329%20CO.jpeg" TargetMode="External"/><Relationship Id="rId34" Type="http://schemas.openxmlformats.org/officeDocument/2006/relationships/hyperlink" Target="Pagamentos\E263%20-%20E264%20CO.pdf" TargetMode="External"/><Relationship Id="rId55" Type="http://schemas.openxmlformats.org/officeDocument/2006/relationships/hyperlink" Target="Pagamentos\E235%20-%20E236%20CO.pdf" TargetMode="External"/><Relationship Id="rId76" Type="http://schemas.openxmlformats.org/officeDocument/2006/relationships/hyperlink" Target="Pagamentos\E204%20-%20E205%20-%20E206%20-%20E207%20CO.jpeg" TargetMode="External"/><Relationship Id="rId97" Type="http://schemas.openxmlformats.org/officeDocument/2006/relationships/hyperlink" Target="Pagamentos\E172%20-%20E295%20-%20E296%20-%20E297%20%20CO.pdf" TargetMode="External"/><Relationship Id="rId120" Type="http://schemas.openxmlformats.org/officeDocument/2006/relationships/hyperlink" Target="Pagamentos\E157%20-%20E159%20CO.pdf" TargetMode="External"/><Relationship Id="rId141" Type="http://schemas.openxmlformats.org/officeDocument/2006/relationships/hyperlink" Target="Pagamentos\E139%20CO.jpeg" TargetMode="External"/><Relationship Id="rId7" Type="http://schemas.openxmlformats.org/officeDocument/2006/relationships/hyperlink" Target="Pagamentos\E318%20-%20E319%20CO.pdf" TargetMode="External"/><Relationship Id="rId162" Type="http://schemas.openxmlformats.org/officeDocument/2006/relationships/hyperlink" Target="Pagamentos\E116%20-%20E117%20A%20CO.pdf" TargetMode="External"/><Relationship Id="rId183" Type="http://schemas.openxmlformats.org/officeDocument/2006/relationships/hyperlink" Target="Pagamentos\E95%20-%20E96%20CO.jpeg" TargetMode="External"/><Relationship Id="rId218" Type="http://schemas.openxmlformats.org/officeDocument/2006/relationships/hyperlink" Target="Pagamentos\E57%20CO.jpeg" TargetMode="External"/><Relationship Id="rId239" Type="http://schemas.openxmlformats.org/officeDocument/2006/relationships/hyperlink" Target="Pagamentos\E39%20-%20E40%20CO.pdf" TargetMode="External"/><Relationship Id="rId250" Type="http://schemas.openxmlformats.org/officeDocument/2006/relationships/hyperlink" Target="Pagamentos\E27%20-%20E28%20CO.pdf" TargetMode="External"/><Relationship Id="rId271" Type="http://schemas.openxmlformats.org/officeDocument/2006/relationships/hyperlink" Target="Pagamentos\E7%20-%20E8%20CO.pdf" TargetMode="External"/><Relationship Id="rId292" Type="http://schemas.openxmlformats.org/officeDocument/2006/relationships/printerSettings" Target="../printerSettings/printerSettings2.bin"/><Relationship Id="rId24" Type="http://schemas.openxmlformats.org/officeDocument/2006/relationships/hyperlink" Target="Pagamentos\E281%20-%20E282%20CO.pdf" TargetMode="External"/><Relationship Id="rId45" Type="http://schemas.openxmlformats.org/officeDocument/2006/relationships/hyperlink" Target="Pagamentos\E245%20-%20E246%20CO.jpeg" TargetMode="External"/><Relationship Id="rId66" Type="http://schemas.openxmlformats.org/officeDocument/2006/relationships/hyperlink" Target="Pagamentos\E223%20-%20E224%20CO.pdf" TargetMode="External"/><Relationship Id="rId87" Type="http://schemas.openxmlformats.org/officeDocument/2006/relationships/hyperlink" Target="Pagamentos\E194%20-%20E195%20CO.jpeg" TargetMode="External"/><Relationship Id="rId110" Type="http://schemas.openxmlformats.org/officeDocument/2006/relationships/hyperlink" Target="Pagamentos\E169%20-%20E210%20-%20E211%20-%20E212%20CO.pdf" TargetMode="External"/><Relationship Id="rId131" Type="http://schemas.openxmlformats.org/officeDocument/2006/relationships/hyperlink" Target="Pagamentos\E147%20-%20E148%20-%20E149%20-%20E150%20CO.jpeg" TargetMode="External"/><Relationship Id="rId152" Type="http://schemas.openxmlformats.org/officeDocument/2006/relationships/hyperlink" Target="Pagamentos\E125%20-%20E126%20CO.jpeg" TargetMode="External"/><Relationship Id="rId173" Type="http://schemas.openxmlformats.org/officeDocument/2006/relationships/hyperlink" Target="Pagamentos\E106%20-%20E107%20CO.jpeg" TargetMode="External"/><Relationship Id="rId194" Type="http://schemas.openxmlformats.org/officeDocument/2006/relationships/hyperlink" Target="Pagamentos\E83%20-%20E84%20CO.jpeg" TargetMode="External"/><Relationship Id="rId208" Type="http://schemas.openxmlformats.org/officeDocument/2006/relationships/hyperlink" Target="Pagamentos\E67%20-%20E72%20CO.jpeg" TargetMode="External"/><Relationship Id="rId229" Type="http://schemas.openxmlformats.org/officeDocument/2006/relationships/hyperlink" Target="Pagamentos\E49%20-%20E51%20CO.jpeg" TargetMode="External"/><Relationship Id="rId240" Type="http://schemas.openxmlformats.org/officeDocument/2006/relationships/hyperlink" Target="Pagamentos\E37%20-%20E38%20CO.pdf" TargetMode="External"/><Relationship Id="rId261" Type="http://schemas.openxmlformats.org/officeDocument/2006/relationships/hyperlink" Target="Pagamentos\E16%20-%20E18%20CO.pdf" TargetMode="External"/><Relationship Id="rId14" Type="http://schemas.openxmlformats.org/officeDocument/2006/relationships/hyperlink" Target="Pagamentos\E306%20-%20E307%20CO.jpeg" TargetMode="External"/><Relationship Id="rId35" Type="http://schemas.openxmlformats.org/officeDocument/2006/relationships/hyperlink" Target="Pagamentos\E261%20-%20E262%20CO.pdf" TargetMode="External"/><Relationship Id="rId56" Type="http://schemas.openxmlformats.org/officeDocument/2006/relationships/hyperlink" Target="Pagamentos\E235%20-%20E236%20CO.pdf" TargetMode="External"/><Relationship Id="rId77" Type="http://schemas.openxmlformats.org/officeDocument/2006/relationships/hyperlink" Target="Pagamentos\E204%20-%20E205%20-%20E206%20-%20E207%20CO.jpeg" TargetMode="External"/><Relationship Id="rId100" Type="http://schemas.openxmlformats.org/officeDocument/2006/relationships/hyperlink" Target="Pagamentos\E172%20-%20E295%20-%20E296%20-%20E297%20%20CO.pdf" TargetMode="External"/><Relationship Id="rId282" Type="http://schemas.openxmlformats.org/officeDocument/2006/relationships/hyperlink" Target="Pagamentos\E330%20-%20E331%20CO.pdf" TargetMode="External"/><Relationship Id="rId8" Type="http://schemas.openxmlformats.org/officeDocument/2006/relationships/hyperlink" Target="Pagamentos\E316%20-%20E317%20CO.pdf" TargetMode="External"/><Relationship Id="rId98" Type="http://schemas.openxmlformats.org/officeDocument/2006/relationships/hyperlink" Target="Pagamentos\E172%20-%20E295%20-%20E296%20-%20E297%20%20CO.pdf" TargetMode="External"/><Relationship Id="rId121" Type="http://schemas.openxmlformats.org/officeDocument/2006/relationships/hyperlink" Target="Pagamentos\E157%20-%20E159%20CO.pdf" TargetMode="External"/><Relationship Id="rId142" Type="http://schemas.openxmlformats.org/officeDocument/2006/relationships/hyperlink" Target="Pagamentos\E135%20-%20E136%20CO.jpeg" TargetMode="External"/><Relationship Id="rId163" Type="http://schemas.openxmlformats.org/officeDocument/2006/relationships/hyperlink" Target="Pagamentos\E116%20-%20E117%20A%20CO.pdf" TargetMode="External"/><Relationship Id="rId184" Type="http://schemas.openxmlformats.org/officeDocument/2006/relationships/hyperlink" Target="Pagamentos\E93%20-%20E94%20CO.jpeg" TargetMode="External"/><Relationship Id="rId219" Type="http://schemas.openxmlformats.org/officeDocument/2006/relationships/hyperlink" Target="Pagamentos\E55%20-%20E56%20CO.pdf" TargetMode="External"/><Relationship Id="rId230" Type="http://schemas.openxmlformats.org/officeDocument/2006/relationships/hyperlink" Target="Pagamentos\E47%20-%20E48%20CO.pdf" TargetMode="External"/><Relationship Id="rId251" Type="http://schemas.openxmlformats.org/officeDocument/2006/relationships/hyperlink" Target="Pagamentos\E27%20-%20E28%20CO.pdf" TargetMode="External"/><Relationship Id="rId25" Type="http://schemas.openxmlformats.org/officeDocument/2006/relationships/hyperlink" Target="Pagamentos\E280%20CO.jpeg" TargetMode="External"/><Relationship Id="rId46" Type="http://schemas.openxmlformats.org/officeDocument/2006/relationships/hyperlink" Target="Pagamentos\E245%20-%20E246%20CO.jpeg" TargetMode="External"/><Relationship Id="rId67" Type="http://schemas.openxmlformats.org/officeDocument/2006/relationships/hyperlink" Target="Pagamentos\E221%20-%20E222%20CO.pdf" TargetMode="External"/><Relationship Id="rId272" Type="http://schemas.openxmlformats.org/officeDocument/2006/relationships/hyperlink" Target="Pagamentos\E5%20-%20E6%20CO.png" TargetMode="External"/><Relationship Id="rId293" Type="http://schemas.openxmlformats.org/officeDocument/2006/relationships/table" Target="../tables/table1.xml"/><Relationship Id="rId88" Type="http://schemas.openxmlformats.org/officeDocument/2006/relationships/hyperlink" Target="Pagamentos\E194%20-%20E195%20CO.jpeg" TargetMode="External"/><Relationship Id="rId111" Type="http://schemas.openxmlformats.org/officeDocument/2006/relationships/hyperlink" Target="Pagamentos\E168%20-%20E181%20CO.pdf" TargetMode="External"/><Relationship Id="rId132" Type="http://schemas.openxmlformats.org/officeDocument/2006/relationships/hyperlink" Target="Pagamentos\E147%20-%20E148%20-%20E149%20-%20E150%20CO.jpeg" TargetMode="External"/><Relationship Id="rId153" Type="http://schemas.openxmlformats.org/officeDocument/2006/relationships/hyperlink" Target="Pagamentos\E125%20-%20E126%20CO.jpeg" TargetMode="External"/><Relationship Id="rId174" Type="http://schemas.openxmlformats.org/officeDocument/2006/relationships/hyperlink" Target="Pagamentos\E103%20-%20E104%20CO.jpeg" TargetMode="External"/><Relationship Id="rId195" Type="http://schemas.openxmlformats.org/officeDocument/2006/relationships/hyperlink" Target="Pagamentos\E83%20-%20E84%20CO.jpeg" TargetMode="External"/><Relationship Id="rId209" Type="http://schemas.openxmlformats.org/officeDocument/2006/relationships/hyperlink" Target="Pagamentos\E67%20-%20E72%20CO.jpeg" TargetMode="External"/><Relationship Id="rId220" Type="http://schemas.openxmlformats.org/officeDocument/2006/relationships/hyperlink" Target="Pagamentos\E55%20-%20E56%20CO.pdf" TargetMode="External"/><Relationship Id="rId241" Type="http://schemas.openxmlformats.org/officeDocument/2006/relationships/hyperlink" Target="Pagamentos\E37%20-%20E38%20CO.pdf" TargetMode="External"/><Relationship Id="rId15" Type="http://schemas.openxmlformats.org/officeDocument/2006/relationships/hyperlink" Target="Pagamentos\E304%20-%20E305%20CO.pdf" TargetMode="External"/><Relationship Id="rId36" Type="http://schemas.openxmlformats.org/officeDocument/2006/relationships/hyperlink" Target="Pagamentos\E258%20-%20E260%20CO.jpeg" TargetMode="External"/><Relationship Id="rId57" Type="http://schemas.openxmlformats.org/officeDocument/2006/relationships/hyperlink" Target="Pagamentos\E233%20-%20E234%20CO.pdf" TargetMode="External"/><Relationship Id="rId262" Type="http://schemas.openxmlformats.org/officeDocument/2006/relationships/hyperlink" Target="Pagamentos\E15%20-%20E17%20CO.jpeg" TargetMode="External"/><Relationship Id="rId283" Type="http://schemas.openxmlformats.org/officeDocument/2006/relationships/hyperlink" Target="Pagamentos\E332%20-%20E333%20CO.pdf" TargetMode="External"/><Relationship Id="rId78" Type="http://schemas.openxmlformats.org/officeDocument/2006/relationships/hyperlink" Target="Pagamentos\E204%20-%20E205%20-%20E206%20-%20E207%20CO.jpeg" TargetMode="External"/><Relationship Id="rId99" Type="http://schemas.openxmlformats.org/officeDocument/2006/relationships/hyperlink" Target="Pagamentos\E172%20-%20E295%20-%20E296%20-%20E297%20%20CO.pdf" TargetMode="External"/><Relationship Id="rId101" Type="http://schemas.openxmlformats.org/officeDocument/2006/relationships/hyperlink" Target="Pagamentos\E171%20-%20E252%20CO.pdf" TargetMode="External"/><Relationship Id="rId122" Type="http://schemas.openxmlformats.org/officeDocument/2006/relationships/hyperlink" Target="Pagamentos\E156%20-%20E158%20CO.jpeg" TargetMode="External"/><Relationship Id="rId143" Type="http://schemas.openxmlformats.org/officeDocument/2006/relationships/hyperlink" Target="Pagamentos\E135%20-%20E136%20CO.jpeg" TargetMode="External"/><Relationship Id="rId164" Type="http://schemas.openxmlformats.org/officeDocument/2006/relationships/hyperlink" Target="Pagamentos\E113%20-%20E115%20CO.jpeg" TargetMode="External"/><Relationship Id="rId185" Type="http://schemas.openxmlformats.org/officeDocument/2006/relationships/hyperlink" Target="Pagamentos\E93%20-%20E94%20CO.jpeg" TargetMode="External"/><Relationship Id="rId9" Type="http://schemas.openxmlformats.org/officeDocument/2006/relationships/hyperlink" Target="Pagamentos\E314%20-%20E315%20CO.pdf" TargetMode="External"/><Relationship Id="rId210" Type="http://schemas.openxmlformats.org/officeDocument/2006/relationships/hyperlink" Target="Pagamentos\E65%20-%20E66%20CO.jpeg" TargetMode="External"/><Relationship Id="rId26" Type="http://schemas.openxmlformats.org/officeDocument/2006/relationships/hyperlink" Target="Pagamentos\E278%20-%20E279%20CO.pdf" TargetMode="External"/><Relationship Id="rId231" Type="http://schemas.openxmlformats.org/officeDocument/2006/relationships/hyperlink" Target="Pagamentos\E47%20-%20E48%20CO.pdf" TargetMode="External"/><Relationship Id="rId252" Type="http://schemas.openxmlformats.org/officeDocument/2006/relationships/hyperlink" Target="Pagamentos\E24%20-%20E25%20CO.jpeg" TargetMode="External"/><Relationship Id="rId273" Type="http://schemas.openxmlformats.org/officeDocument/2006/relationships/hyperlink" Target="Pagamentos\E5%20-%20E6%20CO.png" TargetMode="External"/><Relationship Id="rId47" Type="http://schemas.openxmlformats.org/officeDocument/2006/relationships/hyperlink" Target="Pagamentos\E243%20-%20E244%20CO.pdf" TargetMode="External"/><Relationship Id="rId68" Type="http://schemas.openxmlformats.org/officeDocument/2006/relationships/hyperlink" Target="Pagamentos\E221%20-%20E222%20CO.pdf" TargetMode="External"/><Relationship Id="rId89" Type="http://schemas.openxmlformats.org/officeDocument/2006/relationships/hyperlink" Target="Pagamentos\E192%20-%20E193%20CO.jpeg" TargetMode="External"/><Relationship Id="rId112" Type="http://schemas.openxmlformats.org/officeDocument/2006/relationships/hyperlink" Target="Pagamentos\E168%20-%20E181%20CO.pdf" TargetMode="External"/><Relationship Id="rId133" Type="http://schemas.openxmlformats.org/officeDocument/2006/relationships/hyperlink" Target="Pagamentos\E147%20-%20E148%20-%20E149%20-%20E150%20CO.jpeg" TargetMode="External"/><Relationship Id="rId154" Type="http://schemas.openxmlformats.org/officeDocument/2006/relationships/hyperlink" Target="Pagamentos\E124%20-%20E138%20CO.pdf" TargetMode="External"/><Relationship Id="rId175" Type="http://schemas.openxmlformats.org/officeDocument/2006/relationships/hyperlink" Target="Pagamentos\E103%20-%20E104%20CO.jpeg" TargetMode="External"/><Relationship Id="rId196" Type="http://schemas.openxmlformats.org/officeDocument/2006/relationships/hyperlink" Target="Pagamentos\E81%20-%20E82%20CO.jpeg" TargetMode="External"/><Relationship Id="rId200" Type="http://schemas.openxmlformats.org/officeDocument/2006/relationships/hyperlink" Target="Pagamentos\E77%20-%20E78%20CO.pdf" TargetMode="External"/><Relationship Id="rId16" Type="http://schemas.openxmlformats.org/officeDocument/2006/relationships/hyperlink" Target="Pagamentos\E302%20-%20E303%20CO.pdf" TargetMode="External"/><Relationship Id="rId221" Type="http://schemas.openxmlformats.org/officeDocument/2006/relationships/hyperlink" Target="Pagamentos\E54%20-%20E76%20CO.pdf" TargetMode="External"/><Relationship Id="rId242" Type="http://schemas.openxmlformats.org/officeDocument/2006/relationships/hyperlink" Target="Pagamentos\E35%20-%20E36%20CO.pdf" TargetMode="External"/><Relationship Id="rId263" Type="http://schemas.openxmlformats.org/officeDocument/2006/relationships/hyperlink" Target="Pagamentos\E15%20-%20E17%20CO.jpeg" TargetMode="External"/><Relationship Id="rId284" Type="http://schemas.openxmlformats.org/officeDocument/2006/relationships/hyperlink" Target="Pagamentos\E334%20-%20E335%20CO.pdf" TargetMode="External"/><Relationship Id="rId37" Type="http://schemas.openxmlformats.org/officeDocument/2006/relationships/hyperlink" Target="Pagamentos\E258%20-%20E260%20CO.jpeg" TargetMode="External"/><Relationship Id="rId58" Type="http://schemas.openxmlformats.org/officeDocument/2006/relationships/hyperlink" Target="Pagamentos\E233%20-%20E234%20CO.pdf" TargetMode="External"/><Relationship Id="rId79" Type="http://schemas.openxmlformats.org/officeDocument/2006/relationships/hyperlink" Target="Pagamentos\E202%20-%20E203%20CO.pdf" TargetMode="External"/><Relationship Id="rId102" Type="http://schemas.openxmlformats.org/officeDocument/2006/relationships/hyperlink" Target="Pagamentos\E171%20-%20E252%20CO.pdf" TargetMode="External"/><Relationship Id="rId123" Type="http://schemas.openxmlformats.org/officeDocument/2006/relationships/hyperlink" Target="Pagamentos\E156%20-%20E158%20CO.jpeg" TargetMode="External"/><Relationship Id="rId144" Type="http://schemas.openxmlformats.org/officeDocument/2006/relationships/hyperlink" Target="Pagamentos\E133%20-%20E134%20CO.jpeg" TargetMode="External"/><Relationship Id="rId90" Type="http://schemas.openxmlformats.org/officeDocument/2006/relationships/hyperlink" Target="Pagamentos\E192%20-%20E193%20CO.jpeg" TargetMode="External"/><Relationship Id="rId165" Type="http://schemas.openxmlformats.org/officeDocument/2006/relationships/hyperlink" Target="Pagamentos\E113%20-%20E115%20CO.jpeg" TargetMode="External"/><Relationship Id="rId186" Type="http://schemas.openxmlformats.org/officeDocument/2006/relationships/hyperlink" Target="Pagamentos\E91%20-%20E92%20CO.pdf" TargetMode="External"/><Relationship Id="rId211" Type="http://schemas.openxmlformats.org/officeDocument/2006/relationships/hyperlink" Target="Pagamentos\E65%20-%20E66%20CO.jpeg" TargetMode="External"/><Relationship Id="rId232" Type="http://schemas.openxmlformats.org/officeDocument/2006/relationships/hyperlink" Target="Pagamentos\E46%20CO.jpeg" TargetMode="External"/><Relationship Id="rId253" Type="http://schemas.openxmlformats.org/officeDocument/2006/relationships/hyperlink" Target="Pagamentos\E24%20-%20E25%20CO.jpeg" TargetMode="External"/><Relationship Id="rId274" Type="http://schemas.openxmlformats.org/officeDocument/2006/relationships/hyperlink" Target="Pagamentos\E3%20-%20E4%20CO.pdf" TargetMode="External"/><Relationship Id="rId27" Type="http://schemas.openxmlformats.org/officeDocument/2006/relationships/hyperlink" Target="Pagamentos\E276%20-%20E277%20CO.pdf" TargetMode="External"/><Relationship Id="rId48" Type="http://schemas.openxmlformats.org/officeDocument/2006/relationships/hyperlink" Target="Pagamentos\E243%20-%20E244%20CO.pdf" TargetMode="External"/><Relationship Id="rId69" Type="http://schemas.openxmlformats.org/officeDocument/2006/relationships/hyperlink" Target="Pagamentos\E219%20-%20E220%20CO.jpeg" TargetMode="External"/><Relationship Id="rId113" Type="http://schemas.openxmlformats.org/officeDocument/2006/relationships/hyperlink" Target="Pagamentos\E167%20CO.pdf" TargetMode="External"/><Relationship Id="rId134" Type="http://schemas.openxmlformats.org/officeDocument/2006/relationships/hyperlink" Target="Pagamentos\E145%20-%20E146%20CO.pdf" TargetMode="External"/><Relationship Id="rId80" Type="http://schemas.openxmlformats.org/officeDocument/2006/relationships/hyperlink" Target="Pagamentos\E202%20-%20E203%20CO.pdf" TargetMode="External"/><Relationship Id="rId155" Type="http://schemas.openxmlformats.org/officeDocument/2006/relationships/hyperlink" Target="Pagamentos\E124%20-%20E138%20CO.pdf" TargetMode="External"/><Relationship Id="rId176" Type="http://schemas.openxmlformats.org/officeDocument/2006/relationships/hyperlink" Target="Pagamentos\E99%20-%20E100%20-%20E101%20-%20E102%20CO.jpeg" TargetMode="External"/><Relationship Id="rId197" Type="http://schemas.openxmlformats.org/officeDocument/2006/relationships/hyperlink" Target="Pagamentos\E81%20-%20E82%20CO.jpeg" TargetMode="External"/><Relationship Id="rId201" Type="http://schemas.openxmlformats.org/officeDocument/2006/relationships/hyperlink" Target="Pagamentos\E77%20-%20E78%20CO.pdf" TargetMode="External"/><Relationship Id="rId222" Type="http://schemas.openxmlformats.org/officeDocument/2006/relationships/hyperlink" Target="Pagamentos\E54%20-%20E76%20CO.pdf" TargetMode="External"/><Relationship Id="rId243" Type="http://schemas.openxmlformats.org/officeDocument/2006/relationships/hyperlink" Target="Pagamentos\E35%20-%20E36%20CO.pdf" TargetMode="External"/><Relationship Id="rId264" Type="http://schemas.openxmlformats.org/officeDocument/2006/relationships/hyperlink" Target="Pagamentos\E13%20-%20E14%20CO.pdf" TargetMode="External"/><Relationship Id="rId285" Type="http://schemas.openxmlformats.org/officeDocument/2006/relationships/hyperlink" Target="Pagamentos\E336%20-%20E337%20-%20338%20CO.pdf" TargetMode="External"/><Relationship Id="rId17" Type="http://schemas.openxmlformats.org/officeDocument/2006/relationships/hyperlink" Target="Pagamentos\E298%20-%20E299%20CO.pdf" TargetMode="External"/><Relationship Id="rId38" Type="http://schemas.openxmlformats.org/officeDocument/2006/relationships/hyperlink" Target="Pagamentos\E257%20-%20E259%20CO.jpeg" TargetMode="External"/><Relationship Id="rId59" Type="http://schemas.openxmlformats.org/officeDocument/2006/relationships/hyperlink" Target="Pagamentos\E231%20-%20E232%20CO.jpeg" TargetMode="External"/><Relationship Id="rId103" Type="http://schemas.openxmlformats.org/officeDocument/2006/relationships/hyperlink" Target="Pagamentos\E170%20-%20E251%20-%20%20E253%20E254%20CO.pdf" TargetMode="External"/><Relationship Id="rId124" Type="http://schemas.openxmlformats.org/officeDocument/2006/relationships/hyperlink" Target="Pagamentos\E155%20-%20E164%20CO.pdf" TargetMode="External"/><Relationship Id="rId70" Type="http://schemas.openxmlformats.org/officeDocument/2006/relationships/hyperlink" Target="Pagamentos\E219%20-%20E220%20CO.jpeg" TargetMode="External"/><Relationship Id="rId91" Type="http://schemas.openxmlformats.org/officeDocument/2006/relationships/hyperlink" Target="Pagamentos\E190%20-%20E191%20CO.jpeg" TargetMode="External"/><Relationship Id="rId145" Type="http://schemas.openxmlformats.org/officeDocument/2006/relationships/hyperlink" Target="Pagamentos\E133%20-%20E134%20CO.jpeg" TargetMode="External"/><Relationship Id="rId166" Type="http://schemas.openxmlformats.org/officeDocument/2006/relationships/hyperlink" Target="Pagamentos\E112%20-%20114%20CO.pdf" TargetMode="External"/><Relationship Id="rId187" Type="http://schemas.openxmlformats.org/officeDocument/2006/relationships/hyperlink" Target="Pagamentos\E91%20-%20E92%20CO.pdf" TargetMode="External"/><Relationship Id="rId1" Type="http://schemas.openxmlformats.org/officeDocument/2006/relationships/hyperlink" Target="Pagamentos\E64%20CO.pdf" TargetMode="External"/><Relationship Id="rId212" Type="http://schemas.openxmlformats.org/officeDocument/2006/relationships/hyperlink" Target="Pagamentos\E60%20-%20E61%20-%20E62%20-%20E63%20CO.pdf" TargetMode="External"/><Relationship Id="rId233" Type="http://schemas.openxmlformats.org/officeDocument/2006/relationships/hyperlink" Target="Pagamentos\E45%20CO.jpeg" TargetMode="External"/><Relationship Id="rId254" Type="http://schemas.openxmlformats.org/officeDocument/2006/relationships/hyperlink" Target="Pagamentos\E20%20-%20E21%20-%20E22%20-%20E23%20CO.jpeg" TargetMode="External"/><Relationship Id="rId28" Type="http://schemas.openxmlformats.org/officeDocument/2006/relationships/hyperlink" Target="Pagamentos\E274%20-%20E275%20CO.pdf" TargetMode="External"/><Relationship Id="rId49" Type="http://schemas.openxmlformats.org/officeDocument/2006/relationships/hyperlink" Target="Pagamentos\E241%20-%20E242%20CO.pdf" TargetMode="External"/><Relationship Id="rId114" Type="http://schemas.openxmlformats.org/officeDocument/2006/relationships/hyperlink" Target="Pagamentos\E165%20-%20E166%20CO.jpeg" TargetMode="External"/><Relationship Id="rId275" Type="http://schemas.openxmlformats.org/officeDocument/2006/relationships/hyperlink" Target="Pagamentos\E3%20-%20E4%20CO.pdf" TargetMode="External"/><Relationship Id="rId60" Type="http://schemas.openxmlformats.org/officeDocument/2006/relationships/hyperlink" Target="Pagamentos\E231%20-%20E232%20CO.jpeg" TargetMode="External"/><Relationship Id="rId81" Type="http://schemas.openxmlformats.org/officeDocument/2006/relationships/hyperlink" Target="Pagamentos\E200%20-%20E201%20CO.pdf" TargetMode="External"/><Relationship Id="rId135" Type="http://schemas.openxmlformats.org/officeDocument/2006/relationships/hyperlink" Target="Pagamentos\E145%20-%20E146%20CO.pdf" TargetMode="External"/><Relationship Id="rId156" Type="http://schemas.openxmlformats.org/officeDocument/2006/relationships/hyperlink" Target="Pagamentos\E123%20CO.jpeg" TargetMode="External"/><Relationship Id="rId177" Type="http://schemas.openxmlformats.org/officeDocument/2006/relationships/hyperlink" Target="Pagamentos\E99%20-%20E100%20-%20E101%20-%20E102%20CO.jpeg" TargetMode="External"/><Relationship Id="rId198" Type="http://schemas.openxmlformats.org/officeDocument/2006/relationships/hyperlink" Target="Pagamentos\E79%20-%20E80.jpeg" TargetMode="External"/><Relationship Id="rId202" Type="http://schemas.openxmlformats.org/officeDocument/2006/relationships/hyperlink" Target="Pagamentos\E73%20-%20E74%20CO.pdf" TargetMode="External"/><Relationship Id="rId223" Type="http://schemas.openxmlformats.org/officeDocument/2006/relationships/hyperlink" Target="Pagamentos\E53%20-%20E59%20-%20E137%20CO.pdf" TargetMode="External"/><Relationship Id="rId244" Type="http://schemas.openxmlformats.org/officeDocument/2006/relationships/hyperlink" Target="Pagamentos\E32%20-%20E34%20CO.jpeg" TargetMode="External"/><Relationship Id="rId18" Type="http://schemas.openxmlformats.org/officeDocument/2006/relationships/hyperlink" Target="Pagamentos\E293%20-%20E294%20CO.pdf" TargetMode="External"/><Relationship Id="rId39" Type="http://schemas.openxmlformats.org/officeDocument/2006/relationships/hyperlink" Target="Pagamentos\E257%20-%20E259%20CO.jpeg" TargetMode="External"/><Relationship Id="rId265" Type="http://schemas.openxmlformats.org/officeDocument/2006/relationships/hyperlink" Target="Pagamentos\E13%20-%20E14%20CO.pdf" TargetMode="External"/><Relationship Id="rId286" Type="http://schemas.openxmlformats.org/officeDocument/2006/relationships/hyperlink" Target="Pagamentos\E339%20-%20E340%20CO.pdf" TargetMode="External"/><Relationship Id="rId50" Type="http://schemas.openxmlformats.org/officeDocument/2006/relationships/hyperlink" Target="Pagamentos\E241%20-%20E242%20CO.pdf" TargetMode="External"/><Relationship Id="rId104" Type="http://schemas.openxmlformats.org/officeDocument/2006/relationships/hyperlink" Target="Pagamentos\E170%20-%20E251%20-%20%20E253%20E254%20CO.pdf" TargetMode="External"/><Relationship Id="rId125" Type="http://schemas.openxmlformats.org/officeDocument/2006/relationships/hyperlink" Target="Pagamentos\E155%20-%20E164%20CO.pdf" TargetMode="External"/><Relationship Id="rId146" Type="http://schemas.openxmlformats.org/officeDocument/2006/relationships/hyperlink" Target="Pagamentos\E131%20-%20E132%20CO.jpeg" TargetMode="External"/><Relationship Id="rId167" Type="http://schemas.openxmlformats.org/officeDocument/2006/relationships/hyperlink" Target="Pagamentos\E112%20-%20114%20CO.pdf" TargetMode="External"/><Relationship Id="rId188" Type="http://schemas.openxmlformats.org/officeDocument/2006/relationships/hyperlink" Target="Pagamentos\E89%20-%20E90%20CO.jpeg" TargetMode="External"/><Relationship Id="rId71" Type="http://schemas.openxmlformats.org/officeDocument/2006/relationships/hyperlink" Target="Pagamentos\E217%20-%20E218%20CO.jpeg" TargetMode="External"/><Relationship Id="rId92" Type="http://schemas.openxmlformats.org/officeDocument/2006/relationships/hyperlink" Target="Pagamentos\E190%20-%20E191%20CO.jpeg" TargetMode="External"/><Relationship Id="rId213" Type="http://schemas.openxmlformats.org/officeDocument/2006/relationships/hyperlink" Target="Pagamentos\E60%20-%20E61%20-%20E62%20-%20E63%20CO.pdf" TargetMode="External"/><Relationship Id="rId234" Type="http://schemas.openxmlformats.org/officeDocument/2006/relationships/hyperlink" Target="Pagamentos\E43%20-%20E44%20CO.pdf" TargetMode="External"/><Relationship Id="rId2" Type="http://schemas.openxmlformats.org/officeDocument/2006/relationships/hyperlink" Target="Pagamentos\E105%20CO.jpeg" TargetMode="External"/><Relationship Id="rId29" Type="http://schemas.openxmlformats.org/officeDocument/2006/relationships/hyperlink" Target="Pagamentos\E273%20CO.jpeg" TargetMode="External"/><Relationship Id="rId255" Type="http://schemas.openxmlformats.org/officeDocument/2006/relationships/hyperlink" Target="Pagamentos\E20%20-%20E21%20-%20E22%20-%20E23%20CO.jpeg" TargetMode="External"/><Relationship Id="rId276" Type="http://schemas.openxmlformats.org/officeDocument/2006/relationships/hyperlink" Target="Pagamentos\E1%20-%20E2%20CO.pdf" TargetMode="External"/><Relationship Id="rId40" Type="http://schemas.openxmlformats.org/officeDocument/2006/relationships/hyperlink" Target="Pagamentos\E255%20-%20E256%20CO.jpeg" TargetMode="External"/><Relationship Id="rId115" Type="http://schemas.openxmlformats.org/officeDocument/2006/relationships/hyperlink" Target="Pagamentos\E165%20-%20E166%20CO.jpeg" TargetMode="External"/><Relationship Id="rId136" Type="http://schemas.openxmlformats.org/officeDocument/2006/relationships/hyperlink" Target="Pagamentos\E144%20CO.jpeg" TargetMode="External"/><Relationship Id="rId157" Type="http://schemas.openxmlformats.org/officeDocument/2006/relationships/hyperlink" Target="Pagamentos\E122%20CO.pdf" TargetMode="External"/><Relationship Id="rId178" Type="http://schemas.openxmlformats.org/officeDocument/2006/relationships/hyperlink" Target="Pagamentos\E99%20-%20E100%20-%20E101%20-%20E102%20CO.jpeg" TargetMode="External"/><Relationship Id="rId61" Type="http://schemas.openxmlformats.org/officeDocument/2006/relationships/hyperlink" Target="Pagamentos\E229%20-%20E230%20CO.pdf" TargetMode="External"/><Relationship Id="rId82" Type="http://schemas.openxmlformats.org/officeDocument/2006/relationships/hyperlink" Target="Pagamentos\E200%20-%20E201%20CO.pdf" TargetMode="External"/><Relationship Id="rId199" Type="http://schemas.openxmlformats.org/officeDocument/2006/relationships/hyperlink" Target="Pagamentos\E79%20-%20E80.jpeg" TargetMode="External"/><Relationship Id="rId203" Type="http://schemas.openxmlformats.org/officeDocument/2006/relationships/hyperlink" Target="Pagamentos\E73%20-%20E74%20CO.pdf" TargetMode="External"/><Relationship Id="rId19" Type="http://schemas.openxmlformats.org/officeDocument/2006/relationships/hyperlink" Target="Pagamentos\E291%20-%20E292%20CO.jpeg" TargetMode="External"/><Relationship Id="rId224" Type="http://schemas.openxmlformats.org/officeDocument/2006/relationships/hyperlink" Target="Pagamentos\E53%20-%20E59%20-%20E137%20CO.pdf" TargetMode="External"/><Relationship Id="rId245" Type="http://schemas.openxmlformats.org/officeDocument/2006/relationships/hyperlink" Target="Pagamentos\E32%20-%20E34%20CO.jpeg" TargetMode="External"/><Relationship Id="rId266" Type="http://schemas.openxmlformats.org/officeDocument/2006/relationships/hyperlink" Target="Pagamentos\E11%20-%20E12%20CO.pdf" TargetMode="External"/><Relationship Id="rId287" Type="http://schemas.openxmlformats.org/officeDocument/2006/relationships/hyperlink" Target="Pagamentos\E341%20-%20E342%20-%20E343%20-%20E344%20-%20E345%20CO.pdf" TargetMode="External"/><Relationship Id="rId30" Type="http://schemas.openxmlformats.org/officeDocument/2006/relationships/hyperlink" Target="Pagamentos\E271%20-%20E272%20CO.jpeg" TargetMode="External"/><Relationship Id="rId105" Type="http://schemas.openxmlformats.org/officeDocument/2006/relationships/hyperlink" Target="Pagamentos\E170%20-%20E251%20-%20%20E253%20E254%20CO.pdf" TargetMode="External"/><Relationship Id="rId126" Type="http://schemas.openxmlformats.org/officeDocument/2006/relationships/hyperlink" Target="Pagamentos\E153%20-%20E154%20CO.jpeg" TargetMode="External"/><Relationship Id="rId147" Type="http://schemas.openxmlformats.org/officeDocument/2006/relationships/hyperlink" Target="Pagamentos\E131%20-%20E132%20CO.jpeg" TargetMode="External"/><Relationship Id="rId168" Type="http://schemas.openxmlformats.org/officeDocument/2006/relationships/hyperlink" Target="Pagamentos\E110%20-%20E111%20CO.pdf" TargetMode="External"/><Relationship Id="rId51" Type="http://schemas.openxmlformats.org/officeDocument/2006/relationships/hyperlink" Target="Pagamentos\E239%20-%20E240%20CO.pdf" TargetMode="External"/><Relationship Id="rId72" Type="http://schemas.openxmlformats.org/officeDocument/2006/relationships/hyperlink" Target="Pagamentos\E217%20-%20E218%20CO.jpeg" TargetMode="External"/><Relationship Id="rId93" Type="http://schemas.openxmlformats.org/officeDocument/2006/relationships/hyperlink" Target="Pagamentos\E188%20-%20E189%20CO.pdf" TargetMode="External"/><Relationship Id="rId189" Type="http://schemas.openxmlformats.org/officeDocument/2006/relationships/hyperlink" Target="Pagamentos\E89%20-%20E90%20CO.jpeg" TargetMode="External"/><Relationship Id="rId3" Type="http://schemas.openxmlformats.org/officeDocument/2006/relationships/hyperlink" Target="Pagamentos\E208%20-%20209%20CO.pdf" TargetMode="External"/><Relationship Id="rId214" Type="http://schemas.openxmlformats.org/officeDocument/2006/relationships/hyperlink" Target="Pagamentos\E60%20-%20E61%20-%20E62%20-%20E63%20CO.pdf" TargetMode="External"/><Relationship Id="rId235" Type="http://schemas.openxmlformats.org/officeDocument/2006/relationships/hyperlink" Target="Pagamentos\E43%20-%20E44%20CO.pdf" TargetMode="External"/><Relationship Id="rId256" Type="http://schemas.openxmlformats.org/officeDocument/2006/relationships/hyperlink" Target="Pagamentos\E20%20-%20E21%20-%20E22%20-%20E23%20CO.jpeg" TargetMode="External"/><Relationship Id="rId277" Type="http://schemas.openxmlformats.org/officeDocument/2006/relationships/hyperlink" Target="Pagamentos\E1%20-%20E2%20CO.pdf" TargetMode="External"/><Relationship Id="rId116" Type="http://schemas.openxmlformats.org/officeDocument/2006/relationships/hyperlink" Target="Pagamentos\E162%20-%20E163%20CO.jpeg" TargetMode="External"/><Relationship Id="rId137" Type="http://schemas.openxmlformats.org/officeDocument/2006/relationships/hyperlink" Target="Pagamentos\E143%20CO.jpeg" TargetMode="External"/><Relationship Id="rId158" Type="http://schemas.openxmlformats.org/officeDocument/2006/relationships/hyperlink" Target="Pagamentos\E121%20CO.jpeg" TargetMode="External"/><Relationship Id="rId20" Type="http://schemas.openxmlformats.org/officeDocument/2006/relationships/hyperlink" Target="Pagamentos\E289%20-%20E290%20CO.pdf" TargetMode="External"/><Relationship Id="rId41" Type="http://schemas.openxmlformats.org/officeDocument/2006/relationships/hyperlink" Target="Pagamentos\E249%20-%20E250%20CO.pdf" TargetMode="External"/><Relationship Id="rId62" Type="http://schemas.openxmlformats.org/officeDocument/2006/relationships/hyperlink" Target="Pagamentos\E229%20-%20E230%20CO.pdf" TargetMode="External"/><Relationship Id="rId83" Type="http://schemas.openxmlformats.org/officeDocument/2006/relationships/hyperlink" Target="Pagamentos\E198%20-%20E199%20CO.jpeg" TargetMode="External"/><Relationship Id="rId179" Type="http://schemas.openxmlformats.org/officeDocument/2006/relationships/hyperlink" Target="Pagamentos\E99%20-%20E100%20-%20E101%20-%20E102%20CO.jpeg" TargetMode="External"/><Relationship Id="rId190" Type="http://schemas.openxmlformats.org/officeDocument/2006/relationships/hyperlink" Target="Pagamentos\E87%20-%20E88%20CO.pdf" TargetMode="External"/><Relationship Id="rId204" Type="http://schemas.openxmlformats.org/officeDocument/2006/relationships/hyperlink" Target="Pagamentos\E70%20-%20E71.pdf" TargetMode="External"/><Relationship Id="rId225" Type="http://schemas.openxmlformats.org/officeDocument/2006/relationships/hyperlink" Target="Pagamentos\E53%20-%20E59%20-%20E137%20CO.pdf" TargetMode="External"/><Relationship Id="rId246" Type="http://schemas.openxmlformats.org/officeDocument/2006/relationships/hyperlink" Target="Pagamentos\E31%20-%20E33%20CO.pdf" TargetMode="External"/><Relationship Id="rId267" Type="http://schemas.openxmlformats.org/officeDocument/2006/relationships/hyperlink" Target="Pagamentos\E11%20-%20E12%20CO.pdf" TargetMode="External"/><Relationship Id="rId288" Type="http://schemas.openxmlformats.org/officeDocument/2006/relationships/hyperlink" Target="Pagamentos\E346%20-%20E347%20CO.png" TargetMode="External"/><Relationship Id="rId106" Type="http://schemas.openxmlformats.org/officeDocument/2006/relationships/hyperlink" Target="Pagamentos\E170%20-%20E251%20-%20%20E253%20E254%20CO.pdf" TargetMode="External"/><Relationship Id="rId127" Type="http://schemas.openxmlformats.org/officeDocument/2006/relationships/hyperlink" Target="Pagamentos\E153%20-%20E154%20CO.jpeg" TargetMode="External"/><Relationship Id="rId10" Type="http://schemas.openxmlformats.org/officeDocument/2006/relationships/hyperlink" Target="Pagamentos\E312%20-%20E313%20CO.jpeg" TargetMode="External"/><Relationship Id="rId31" Type="http://schemas.openxmlformats.org/officeDocument/2006/relationships/hyperlink" Target="Pagamentos\E269%20-%20E270%20CO.pdf" TargetMode="External"/><Relationship Id="rId52" Type="http://schemas.openxmlformats.org/officeDocument/2006/relationships/hyperlink" Target="Pagamentos\E239%20-%20E240%20CO.pdf" TargetMode="External"/><Relationship Id="rId73" Type="http://schemas.openxmlformats.org/officeDocument/2006/relationships/hyperlink" Target="Pagamentos\E215%20-%20E216%20CO.jpeg" TargetMode="External"/><Relationship Id="rId94" Type="http://schemas.openxmlformats.org/officeDocument/2006/relationships/hyperlink" Target="Pagamentos\E188%20-%20E189%20CO.pdf" TargetMode="External"/><Relationship Id="rId148" Type="http://schemas.openxmlformats.org/officeDocument/2006/relationships/hyperlink" Target="Pagamentos\E129%20-%20E130%20CO.jpeg" TargetMode="External"/><Relationship Id="rId169" Type="http://schemas.openxmlformats.org/officeDocument/2006/relationships/hyperlink" Target="Pagamentos\E110%20-%20E111%20CO.pdf" TargetMode="External"/><Relationship Id="rId4" Type="http://schemas.openxmlformats.org/officeDocument/2006/relationships/hyperlink" Target="Pagamentos\E186%20-%20E187%20CO.pdf" TargetMode="External"/><Relationship Id="rId180" Type="http://schemas.openxmlformats.org/officeDocument/2006/relationships/hyperlink" Target="Pagamentos\E97%20-%20E98%20CO.jpeg" TargetMode="External"/><Relationship Id="rId215" Type="http://schemas.openxmlformats.org/officeDocument/2006/relationships/hyperlink" Target="Pagamentos\E60%20-%20E61%20-%20E62%20-%20E63%20CO.pdf" TargetMode="External"/><Relationship Id="rId236" Type="http://schemas.openxmlformats.org/officeDocument/2006/relationships/hyperlink" Target="Pagamentos\E41%20-%20E42%20CO.pdf" TargetMode="External"/><Relationship Id="rId257" Type="http://schemas.openxmlformats.org/officeDocument/2006/relationships/hyperlink" Target="Pagamentos\E20%20-%20E21%20-%20E22%20-%20E23%20CO.jpeg" TargetMode="External"/><Relationship Id="rId278" Type="http://schemas.openxmlformats.org/officeDocument/2006/relationships/hyperlink" Target="Pagamentos\E322%20-%20E323%20CO.jpeg" TargetMode="External"/><Relationship Id="rId42" Type="http://schemas.openxmlformats.org/officeDocument/2006/relationships/hyperlink" Target="Pagamentos\E249%20-%20E250%20CO.pdf" TargetMode="External"/><Relationship Id="rId84" Type="http://schemas.openxmlformats.org/officeDocument/2006/relationships/hyperlink" Target="Pagamentos\E198%20-%20E199%20CO.jpeg" TargetMode="External"/><Relationship Id="rId138" Type="http://schemas.openxmlformats.org/officeDocument/2006/relationships/hyperlink" Target="Pagamentos\E142%20CO.jpeg" TargetMode="External"/><Relationship Id="rId191" Type="http://schemas.openxmlformats.org/officeDocument/2006/relationships/hyperlink" Target="Pagamentos\E87%20-%20E88%20CO.pdf" TargetMode="External"/><Relationship Id="rId205" Type="http://schemas.openxmlformats.org/officeDocument/2006/relationships/hyperlink" Target="Pagamentos\E70%20-%20E71.pdf" TargetMode="External"/><Relationship Id="rId247" Type="http://schemas.openxmlformats.org/officeDocument/2006/relationships/hyperlink" Target="Pagamentos\E31%20-%20E33%20CO.pdf" TargetMode="External"/><Relationship Id="rId107" Type="http://schemas.openxmlformats.org/officeDocument/2006/relationships/hyperlink" Target="Pagamentos\E169%20-%20E210%20-%20E211%20-%20E212%20CO.pdf" TargetMode="External"/><Relationship Id="rId289" Type="http://schemas.openxmlformats.org/officeDocument/2006/relationships/hyperlink" Target="Pagamentos\E348%20-%20E349%20CO.pdf" TargetMode="External"/><Relationship Id="rId11" Type="http://schemas.openxmlformats.org/officeDocument/2006/relationships/hyperlink" Target="Pagamentos\E310%20-%20E311%20CO.pdf" TargetMode="External"/><Relationship Id="rId53" Type="http://schemas.openxmlformats.org/officeDocument/2006/relationships/hyperlink" Target="Pagamentos\E237%20-%20E238%20CO.jpeg" TargetMode="External"/><Relationship Id="rId149" Type="http://schemas.openxmlformats.org/officeDocument/2006/relationships/hyperlink" Target="Pagamentos\E129%20-%20E130%20CO.jpeg" TargetMode="External"/><Relationship Id="rId95" Type="http://schemas.openxmlformats.org/officeDocument/2006/relationships/hyperlink" Target="Pagamentos\E184%20-%20E185%20CO.jpeg" TargetMode="External"/><Relationship Id="rId160" Type="http://schemas.openxmlformats.org/officeDocument/2006/relationships/hyperlink" Target="Pagamentos\E118%20-%20E119%20CO.jpeg" TargetMode="External"/><Relationship Id="rId216" Type="http://schemas.openxmlformats.org/officeDocument/2006/relationships/hyperlink" Target="Pagamentos\E58%20-%20E68%20CO.pdf" TargetMode="External"/><Relationship Id="rId258" Type="http://schemas.openxmlformats.org/officeDocument/2006/relationships/hyperlink" Target="Pagamentos\E19%20-%20E26%20CO.jpeg" TargetMode="External"/><Relationship Id="rId22" Type="http://schemas.openxmlformats.org/officeDocument/2006/relationships/hyperlink" Target="Pagamentos\E285%20-%20E286%20CO.jpeg" TargetMode="External"/><Relationship Id="rId64" Type="http://schemas.openxmlformats.org/officeDocument/2006/relationships/hyperlink" Target="Pagamentos\E227%20-%20E228%20CO.pdf" TargetMode="External"/><Relationship Id="rId118" Type="http://schemas.openxmlformats.org/officeDocument/2006/relationships/hyperlink" Target="Pagamentos\E160%20-%20161%20CO.pdf" TargetMode="External"/><Relationship Id="rId171" Type="http://schemas.openxmlformats.org/officeDocument/2006/relationships/hyperlink" Target="Pagamentos\E108%20-%20E109%20CO.pdf" TargetMode="External"/><Relationship Id="rId227" Type="http://schemas.openxmlformats.org/officeDocument/2006/relationships/hyperlink" Target="Pagamentos\E50%20-%20E52%20CO.pdf" TargetMode="External"/><Relationship Id="rId269" Type="http://schemas.openxmlformats.org/officeDocument/2006/relationships/hyperlink" Target="Pagamentos\E9%20-%20E10%20CO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dominio.br/" TargetMode="External"/><Relationship Id="rId2" Type="http://schemas.openxmlformats.org/officeDocument/2006/relationships/hyperlink" Target="http://www.celpe.com.br/" TargetMode="External"/><Relationship Id="rId1" Type="http://schemas.openxmlformats.org/officeDocument/2006/relationships/hyperlink" Target="http://www.compesa.com.br/" TargetMode="External"/><Relationship Id="rId6" Type="http://schemas.openxmlformats.org/officeDocument/2006/relationships/table" Target="../tables/table5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://www.inpi.gov.br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82DBA-AEE9-4DCE-863E-2164F6C03C64}">
  <sheetPr codeName="Planilha4">
    <tabColor theme="4"/>
    <pageSetUpPr fitToPage="1"/>
  </sheetPr>
  <dimension ref="A1:Q74"/>
  <sheetViews>
    <sheetView showGridLines="0" tabSelected="1" topLeftCell="A43" zoomScale="25" zoomScaleNormal="25" zoomScaleSheetLayoutView="55" workbookViewId="0">
      <selection activeCell="J1" sqref="J1:P1"/>
    </sheetView>
  </sheetViews>
  <sheetFormatPr defaultColWidth="0" defaultRowHeight="24.65" customHeight="1" zeroHeight="1" x14ac:dyDescent="0.35"/>
  <cols>
    <col min="1" max="1" width="3.54296875" style="16" customWidth="1"/>
    <col min="2" max="2" width="49.1796875" style="19" bestFit="1" customWidth="1"/>
    <col min="3" max="3" width="37.90625" style="43" bestFit="1" customWidth="1"/>
    <col min="4" max="4" width="41.81640625" style="43" customWidth="1"/>
    <col min="5" max="5" width="41.81640625" style="94" customWidth="1"/>
    <col min="6" max="7" width="41.81640625" style="92" customWidth="1"/>
    <col min="8" max="8" width="41.81640625" style="19" customWidth="1"/>
    <col min="9" max="9" width="16.7265625" style="16" customWidth="1"/>
    <col min="10" max="10" width="53.81640625" style="16" bestFit="1" customWidth="1"/>
    <col min="11" max="16" width="34.453125" style="16" customWidth="1"/>
    <col min="17" max="17" width="1.81640625" style="16" customWidth="1"/>
    <col min="18" max="16384" width="8.7265625" style="16" hidden="1"/>
  </cols>
  <sheetData>
    <row r="1" spans="1:16" ht="30" customHeight="1" x14ac:dyDescent="0.35">
      <c r="B1" s="284"/>
      <c r="C1" s="284"/>
      <c r="D1" s="279" t="s">
        <v>202</v>
      </c>
      <c r="E1" s="279"/>
      <c r="F1" s="279"/>
      <c r="G1" s="279"/>
      <c r="H1" s="279"/>
      <c r="I1" s="97"/>
      <c r="J1" s="266" t="s">
        <v>194</v>
      </c>
      <c r="K1" s="266"/>
      <c r="L1" s="266"/>
      <c r="M1" s="266"/>
      <c r="N1" s="266"/>
      <c r="O1" s="266"/>
      <c r="P1" s="266"/>
    </row>
    <row r="2" spans="1:16" ht="30" customHeight="1" x14ac:dyDescent="0.35">
      <c r="B2" s="284"/>
      <c r="C2" s="284"/>
      <c r="D2" s="280"/>
      <c r="E2" s="280"/>
      <c r="F2" s="280"/>
      <c r="G2" s="280"/>
      <c r="H2" s="280"/>
      <c r="J2" s="126">
        <v>6</v>
      </c>
      <c r="K2" s="137">
        <f>DATE(2020,8+J2,1)</f>
        <v>44228</v>
      </c>
      <c r="L2" s="137">
        <f>DATE(YEAR(K2),MONTH(K2)+1,1)</f>
        <v>44256</v>
      </c>
      <c r="M2" s="137">
        <f>DATE(YEAR(L2),MONTH(L2)+1,1)</f>
        <v>44287</v>
      </c>
      <c r="N2" s="137">
        <f>DATE(YEAR(M2),MONTH(M2)+1,1)</f>
        <v>44317</v>
      </c>
      <c r="O2" s="137">
        <f>DATE(YEAR(N2),MONTH(N2)+1,1)</f>
        <v>44348</v>
      </c>
      <c r="P2" s="137">
        <f>DATE(YEAR(O2),MONTH(O2)+1,1)</f>
        <v>44378</v>
      </c>
    </row>
    <row r="3" spans="1:16" ht="30" customHeight="1" x14ac:dyDescent="0.35">
      <c r="B3" s="284"/>
      <c r="C3" s="284"/>
      <c r="D3" s="280"/>
      <c r="E3" s="280"/>
      <c r="F3" s="280"/>
      <c r="G3" s="280"/>
      <c r="H3" s="280"/>
      <c r="J3" s="278" t="s">
        <v>91</v>
      </c>
      <c r="K3" s="278"/>
      <c r="L3" s="278"/>
      <c r="M3" s="278"/>
      <c r="N3" s="278"/>
      <c r="O3" s="278"/>
      <c r="P3" s="278"/>
    </row>
    <row r="4" spans="1:16" ht="30" customHeight="1" x14ac:dyDescent="0.35">
      <c r="B4" s="284"/>
      <c r="C4" s="284"/>
      <c r="D4" s="281" t="s">
        <v>203</v>
      </c>
      <c r="E4" s="281"/>
      <c r="F4" s="281"/>
      <c r="G4" s="281"/>
      <c r="H4" s="281"/>
      <c r="J4" s="127" t="s">
        <v>228</v>
      </c>
      <c r="K4" s="139">
        <f>IFERROR(GETPIVOTDATA("Valor Real",DIN_mov!$A$3,"Tipo",$J$13,"Categoria",$J$3,"Subcategoria",$J4,"Mês Referência",K$2),0)</f>
        <v>0</v>
      </c>
      <c r="L4" s="139">
        <f>IFERROR(GETPIVOTDATA("Valor Real",DIN_mov!$A$3,"Tipo",$J$13,"Categoria",$J$3,"Subcategoria",$J4,"Mês Referência",L$2),0)</f>
        <v>0</v>
      </c>
      <c r="M4" s="139">
        <f>IFERROR(GETPIVOTDATA("Valor Real",DIN_mov!$A$3,"Tipo",$J$13,"Categoria",$J$3,"Subcategoria",$J4,"Mês Referência",M$2),0)</f>
        <v>0</v>
      </c>
      <c r="N4" s="139">
        <f>IFERROR(GETPIVOTDATA("Valor Real",DIN_mov!$A$3,"Tipo",$J$13,"Categoria",$J$3,"Subcategoria",$J4,"Mês Referência",N$2),0)</f>
        <v>0</v>
      </c>
      <c r="O4" s="139">
        <f>IFERROR(GETPIVOTDATA("Valor Real",DIN_mov!$A$3,"Tipo",$J$13,"Categoria",$J$3,"Subcategoria",$J4,"Mês Referência",O$2),0)</f>
        <v>0</v>
      </c>
      <c r="P4" s="139">
        <f>IFERROR(GETPIVOTDATA("Valor Real",DIN_mov!$A$3,"Tipo",$J$13,"Categoria",$J$3,"Subcategoria",$J4,"Mês Referência",P$2),0)</f>
        <v>0</v>
      </c>
    </row>
    <row r="5" spans="1:16" ht="30" customHeight="1" x14ac:dyDescent="0.35">
      <c r="B5" s="284"/>
      <c r="C5" s="284"/>
      <c r="D5" s="281"/>
      <c r="E5" s="281"/>
      <c r="F5" s="281"/>
      <c r="G5" s="281"/>
      <c r="H5" s="281"/>
      <c r="J5" s="127" t="s">
        <v>180</v>
      </c>
      <c r="K5" s="139">
        <f>IFERROR(GETPIVOTDATA("Valor Real",DIN_mov!$A$3,"Tipo",$J$13,"Categoria",$J$3,"Subcategoria",$J5,"Mês Referência",K$2),0)</f>
        <v>0</v>
      </c>
      <c r="L5" s="139">
        <f>IFERROR(GETPIVOTDATA("Valor Real",DIN_mov!$A$3,"Tipo",$J$13,"Categoria",$J$3,"Subcategoria",$J5,"Mês Referência",L$2),0)</f>
        <v>0</v>
      </c>
      <c r="M5" s="139">
        <f>IFERROR(GETPIVOTDATA("Valor Real",DIN_mov!$A$3,"Tipo",$J$13,"Categoria",$J$3,"Subcategoria",$J5,"Mês Referência",M$2),0)</f>
        <v>0</v>
      </c>
      <c r="N5" s="139">
        <f>IFERROR(GETPIVOTDATA("Valor Real",DIN_mov!$A$3,"Tipo",$J$13,"Categoria",$J$3,"Subcategoria",$J5,"Mês Referência",N$2),0)</f>
        <v>0</v>
      </c>
      <c r="O5" s="139">
        <f>IFERROR(GETPIVOTDATA("Valor Real",DIN_mov!$A$3,"Tipo",$J$13,"Categoria",$J$3,"Subcategoria",$J5,"Mês Referência",O$2),0)</f>
        <v>0</v>
      </c>
      <c r="P5" s="139">
        <f>IFERROR(GETPIVOTDATA("Valor Real",DIN_mov!$A$3,"Tipo",$J$13,"Categoria",$J$3,"Subcategoria",$J5,"Mês Referência",P$2),0)</f>
        <v>0</v>
      </c>
    </row>
    <row r="6" spans="1:16" ht="30" customHeight="1" x14ac:dyDescent="0.35">
      <c r="B6" s="284"/>
      <c r="C6" s="284"/>
      <c r="D6" s="282"/>
      <c r="E6" s="282"/>
      <c r="F6" s="282"/>
      <c r="G6" s="282"/>
      <c r="H6" s="282"/>
      <c r="J6" s="127" t="s">
        <v>223</v>
      </c>
      <c r="K6" s="139">
        <f>IFERROR(GETPIVOTDATA("Valor Real",DIN_mov!$A$3,"Tipo",$J$13,"Categoria",$J$3,"Subcategoria",$J6,"Mês Referência",K$2),0)</f>
        <v>0</v>
      </c>
      <c r="L6" s="139">
        <f>IFERROR(GETPIVOTDATA("Valor Real",DIN_mov!$A$3,"Tipo",$J$13,"Categoria",$J$3,"Subcategoria",$J6,"Mês Referência",L$2),0)</f>
        <v>3000</v>
      </c>
      <c r="M6" s="139">
        <f>IFERROR(GETPIVOTDATA("Valor Real",DIN_mov!$A$3,"Tipo",$J$13,"Categoria",$J$3,"Subcategoria",$J6,"Mês Referência",M$2),0)</f>
        <v>0</v>
      </c>
      <c r="N6" s="139">
        <f>IFERROR(GETPIVOTDATA("Valor Real",DIN_mov!$A$3,"Tipo",$J$13,"Categoria",$J$3,"Subcategoria",$J6,"Mês Referência",N$2),0)</f>
        <v>0</v>
      </c>
      <c r="O6" s="139">
        <f>IFERROR(GETPIVOTDATA("Valor Real",DIN_mov!$A$3,"Tipo",$J$13,"Categoria",$J$3,"Subcategoria",$J6,"Mês Referência",O$2),0)</f>
        <v>0</v>
      </c>
      <c r="P6" s="139">
        <f>IFERROR(GETPIVOTDATA("Valor Real",DIN_mov!$A$3,"Tipo",$J$13,"Categoria",$J$3,"Subcategoria",$J6,"Mês Referência",P$2),0)</f>
        <v>0</v>
      </c>
    </row>
    <row r="7" spans="1:16" ht="30" customHeight="1" x14ac:dyDescent="0.35">
      <c r="B7" s="284"/>
      <c r="C7" s="284"/>
      <c r="D7" s="283">
        <f ca="1">TODAY()</f>
        <v>44362</v>
      </c>
      <c r="E7" s="283"/>
      <c r="F7" s="283"/>
      <c r="G7" s="283"/>
      <c r="H7" s="283"/>
      <c r="J7" s="127" t="s">
        <v>231</v>
      </c>
      <c r="K7" s="139">
        <f>IFERROR(GETPIVOTDATA("Valor Real",DIN_mov!$A$3,"Tipo",$J$13,"Categoria",$J$3,"Subcategoria",$J7,"Mês Referência",K$2),0)</f>
        <v>0</v>
      </c>
      <c r="L7" s="139">
        <f>IFERROR(GETPIVOTDATA("Valor Real",DIN_mov!$A$3,"Tipo",$J$13,"Categoria",$J$3,"Subcategoria",$J7,"Mês Referência",L$2),0)</f>
        <v>0</v>
      </c>
      <c r="M7" s="139">
        <f>IFERROR(GETPIVOTDATA("Valor Real",DIN_mov!$A$3,"Tipo",$J$13,"Categoria",$J$3,"Subcategoria",$J7,"Mês Referência",M$2),0)</f>
        <v>0</v>
      </c>
      <c r="N7" s="139">
        <f>IFERROR(GETPIVOTDATA("Valor Real",DIN_mov!$A$3,"Tipo",$J$13,"Categoria",$J$3,"Subcategoria",$J7,"Mês Referência",N$2),0)</f>
        <v>0</v>
      </c>
      <c r="O7" s="139">
        <f>IFERROR(GETPIVOTDATA("Valor Real",DIN_mov!$A$3,"Tipo",$J$13,"Categoria",$J$3,"Subcategoria",$J7,"Mês Referência",O$2),0)</f>
        <v>0</v>
      </c>
      <c r="P7" s="139">
        <f>IFERROR(GETPIVOTDATA("Valor Real",DIN_mov!$A$3,"Tipo",$J$13,"Categoria",$J$3,"Subcategoria",$J7,"Mês Referência",P$2),0)</f>
        <v>0</v>
      </c>
    </row>
    <row r="8" spans="1:16" ht="30" customHeight="1" x14ac:dyDescent="0.35">
      <c r="B8" s="284"/>
      <c r="C8" s="284"/>
      <c r="D8" s="283"/>
      <c r="E8" s="283"/>
      <c r="F8" s="283"/>
      <c r="G8" s="283"/>
      <c r="H8" s="283"/>
      <c r="J8" s="127" t="s">
        <v>230</v>
      </c>
      <c r="K8" s="139">
        <f>IFERROR(GETPIVOTDATA("Valor Real",DIN_mov!$A$3,"Tipo",$J$13,"Categoria",$J$3,"Subcategoria",$J8,"Mês Referência",K$2),0)</f>
        <v>0</v>
      </c>
      <c r="L8" s="139">
        <f>IFERROR(GETPIVOTDATA("Valor Real",DIN_mov!$A$3,"Tipo",$J$13,"Categoria",$J$3,"Subcategoria",$J8,"Mês Referência",L$2),0)</f>
        <v>0</v>
      </c>
      <c r="M8" s="139">
        <f>IFERROR(GETPIVOTDATA("Valor Real",DIN_mov!$A$3,"Tipo",$J$13,"Categoria",$J$3,"Subcategoria",$J8,"Mês Referência",M$2),0)</f>
        <v>0</v>
      </c>
      <c r="N8" s="139">
        <f>IFERROR(GETPIVOTDATA("Valor Real",DIN_mov!$A$3,"Tipo",$J$13,"Categoria",$J$3,"Subcategoria",$J8,"Mês Referência",N$2),0)</f>
        <v>0</v>
      </c>
      <c r="O8" s="139">
        <f>IFERROR(GETPIVOTDATA("Valor Real",DIN_mov!$A$3,"Tipo",$J$13,"Categoria",$J$3,"Subcategoria",$J8,"Mês Referência",O$2),0)</f>
        <v>0</v>
      </c>
      <c r="P8" s="139">
        <f>IFERROR(GETPIVOTDATA("Valor Real",DIN_mov!$A$3,"Tipo",$J$13,"Categoria",$J$3,"Subcategoria",$J8,"Mês Referência",P$2),0)</f>
        <v>0</v>
      </c>
    </row>
    <row r="9" spans="1:16" ht="30" customHeight="1" x14ac:dyDescent="0.35">
      <c r="B9" s="287" t="s">
        <v>495</v>
      </c>
      <c r="C9" s="288"/>
      <c r="D9" s="288"/>
      <c r="E9" s="288"/>
      <c r="F9" s="288"/>
      <c r="G9" s="288"/>
      <c r="H9" s="289"/>
      <c r="J9" s="127" t="s">
        <v>94</v>
      </c>
      <c r="K9" s="139">
        <f>IFERROR(GETPIVOTDATA("Valor Real",DIN_mov!$A$3,"Tipo",$J$13,"Categoria",$J$3,"Subcategoria",$J9,"Mês Referência",K$2),0)</f>
        <v>0</v>
      </c>
      <c r="L9" s="139">
        <f>IFERROR(GETPIVOTDATA("Valor Real",DIN_mov!$A$3,"Tipo",$J$13,"Categoria",$J$3,"Subcategoria",$J9,"Mês Referência",L$2),0)</f>
        <v>0</v>
      </c>
      <c r="M9" s="139">
        <f>IFERROR(GETPIVOTDATA("Valor Real",DIN_mov!$A$3,"Tipo",$J$13,"Categoria",$J$3,"Subcategoria",$J9,"Mês Referência",M$2),0)</f>
        <v>0</v>
      </c>
      <c r="N9" s="139">
        <f>IFERROR(GETPIVOTDATA("Valor Real",DIN_mov!$A$3,"Tipo",$J$13,"Categoria",$J$3,"Subcategoria",$J9,"Mês Referência",N$2),0)</f>
        <v>0</v>
      </c>
      <c r="O9" s="139">
        <f>IFERROR(GETPIVOTDATA("Valor Real",DIN_mov!$A$3,"Tipo",$J$13,"Categoria",$J$3,"Subcategoria",$J9,"Mês Referência",O$2),0)</f>
        <v>0</v>
      </c>
      <c r="P9" s="139">
        <f>IFERROR(GETPIVOTDATA("Valor Real",DIN_mov!$A$3,"Tipo",$J$13,"Categoria",$J$3,"Subcategoria",$J9,"Mês Referência",P$2),0)</f>
        <v>0</v>
      </c>
    </row>
    <row r="10" spans="1:16" ht="30" customHeight="1" x14ac:dyDescent="0.35">
      <c r="B10" s="290"/>
      <c r="C10" s="291"/>
      <c r="D10" s="291"/>
      <c r="E10" s="291"/>
      <c r="F10" s="291"/>
      <c r="G10" s="291"/>
      <c r="H10" s="292"/>
      <c r="J10" s="127" t="s">
        <v>92</v>
      </c>
      <c r="K10" s="139">
        <f>IFERROR(GETPIVOTDATA("Valor Real",DIN_mov!$A$3,"Tipo",$J$13,"Categoria",$J$3,"Subcategoria",$J10,"Mês Referência",K$2),0)</f>
        <v>0</v>
      </c>
      <c r="L10" s="139">
        <f>IFERROR(GETPIVOTDATA("Valor Real",DIN_mov!$A$3,"Tipo",$J$13,"Categoria",$J$3,"Subcategoria",$J10,"Mês Referência",L$2),0)</f>
        <v>0</v>
      </c>
      <c r="M10" s="139">
        <f>IFERROR(GETPIVOTDATA("Valor Real",DIN_mov!$A$3,"Tipo",$J$13,"Categoria",$J$3,"Subcategoria",$J10,"Mês Referência",M$2),0)</f>
        <v>0</v>
      </c>
      <c r="N10" s="139">
        <f>IFERROR(GETPIVOTDATA("Valor Real",DIN_mov!$A$3,"Tipo",$J$13,"Categoria",$J$3,"Subcategoria",$J10,"Mês Referência",N$2),0)</f>
        <v>0</v>
      </c>
      <c r="O10" s="139">
        <f>IFERROR(GETPIVOTDATA("Valor Real",DIN_mov!$A$3,"Tipo",$J$13,"Categoria",$J$3,"Subcategoria",$J10,"Mês Referência",O$2),0)</f>
        <v>0</v>
      </c>
      <c r="P10" s="139">
        <f>IFERROR(GETPIVOTDATA("Valor Real",DIN_mov!$A$3,"Tipo",$J$13,"Categoria",$J$3,"Subcategoria",$J10,"Mês Referência",P$2),0)</f>
        <v>0</v>
      </c>
    </row>
    <row r="11" spans="1:16" ht="30" customHeight="1" x14ac:dyDescent="0.35">
      <c r="B11" s="275" t="s">
        <v>204</v>
      </c>
      <c r="C11" s="275"/>
      <c r="D11" s="275"/>
      <c r="E11" s="275"/>
      <c r="F11" s="275"/>
      <c r="G11" s="275"/>
      <c r="H11" s="275"/>
      <c r="J11" s="127" t="s">
        <v>93</v>
      </c>
      <c r="K11" s="139">
        <f>IFERROR(GETPIVOTDATA("Valor Real",DIN_mov!$A$3,"Tipo",$J$13,"Categoria",$J$3,"Subcategoria",$J11,"Mês Referência",K$2),0)</f>
        <v>0</v>
      </c>
      <c r="L11" s="139">
        <f>IFERROR(GETPIVOTDATA("Valor Real",DIN_mov!$A$3,"Tipo",$J$13,"Categoria",$J$3,"Subcategoria",$J11,"Mês Referência",L$2),0)</f>
        <v>0</v>
      </c>
      <c r="M11" s="139">
        <f>IFERROR(GETPIVOTDATA("Valor Real",DIN_mov!$A$3,"Tipo",$J$13,"Categoria",$J$3,"Subcategoria",$J11,"Mês Referência",M$2),0)</f>
        <v>0</v>
      </c>
      <c r="N11" s="139">
        <f>IFERROR(GETPIVOTDATA("Valor Real",DIN_mov!$A$3,"Tipo",$J$13,"Categoria",$J$3,"Subcategoria",$J11,"Mês Referência",N$2),0)</f>
        <v>0</v>
      </c>
      <c r="O11" s="139">
        <f>IFERROR(GETPIVOTDATA("Valor Real",DIN_mov!$A$3,"Tipo",$J$13,"Categoria",$J$3,"Subcategoria",$J11,"Mês Referência",O$2),0)</f>
        <v>0</v>
      </c>
      <c r="P11" s="139">
        <f>IFERROR(GETPIVOTDATA("Valor Real",DIN_mov!$A$3,"Tipo",$J$13,"Categoria",$J$3,"Subcategoria",$J11,"Mês Referência",P$2),0)</f>
        <v>0</v>
      </c>
    </row>
    <row r="12" spans="1:16" ht="30" customHeight="1" x14ac:dyDescent="0.35">
      <c r="B12" s="50"/>
      <c r="E12" s="96"/>
      <c r="H12" s="50"/>
      <c r="J12" s="127" t="s">
        <v>179</v>
      </c>
      <c r="K12" s="139">
        <f>IFERROR(GETPIVOTDATA("Valor Real",DIN_mov!$A$3,"Tipo",$J$13,"Categoria",$J$3,"Subcategoria",$J12,"Mês Referência",K$2),0)</f>
        <v>0</v>
      </c>
      <c r="L12" s="139">
        <f>IFERROR(GETPIVOTDATA("Valor Real",DIN_mov!$A$3,"Tipo",$J$13,"Categoria",$J$3,"Subcategoria",$J12,"Mês Referência",L$2),0)</f>
        <v>0</v>
      </c>
      <c r="M12" s="139">
        <f>IFERROR(GETPIVOTDATA("Valor Real",DIN_mov!$A$3,"Tipo",$J$13,"Categoria",$J$3,"Subcategoria",$J12,"Mês Referência",M$2),0)</f>
        <v>0</v>
      </c>
      <c r="N12" s="139">
        <f>IFERROR(GETPIVOTDATA("Valor Real",DIN_mov!$A$3,"Tipo",$J$13,"Categoria",$J$3,"Subcategoria",$J12,"Mês Referência",N$2),0)</f>
        <v>0</v>
      </c>
      <c r="O12" s="139">
        <f>IFERROR(GETPIVOTDATA("Valor Real",DIN_mov!$A$3,"Tipo",$J$13,"Categoria",$J$3,"Subcategoria",$J12,"Mês Referência",O$2),0)</f>
        <v>0</v>
      </c>
      <c r="P12" s="139">
        <f>IFERROR(GETPIVOTDATA("Valor Real",DIN_mov!$A$3,"Tipo",$J$13,"Categoria",$J$3,"Subcategoria",$J12,"Mês Referência",P$2),0)</f>
        <v>0</v>
      </c>
    </row>
    <row r="13" spans="1:16" ht="30" customHeight="1" x14ac:dyDescent="0.35">
      <c r="B13" s="276" t="s">
        <v>115</v>
      </c>
      <c r="C13" s="276"/>
      <c r="D13" s="276"/>
      <c r="E13" s="100"/>
      <c r="F13" s="276" t="s">
        <v>100</v>
      </c>
      <c r="G13" s="276"/>
      <c r="H13" s="276"/>
      <c r="J13" s="128" t="s">
        <v>89</v>
      </c>
      <c r="K13" s="129">
        <f t="shared" ref="K13:P13" si="0">SUM(K4:K12)</f>
        <v>0</v>
      </c>
      <c r="L13" s="129">
        <f t="shared" si="0"/>
        <v>3000</v>
      </c>
      <c r="M13" s="129">
        <f t="shared" si="0"/>
        <v>0</v>
      </c>
      <c r="N13" s="129">
        <f t="shared" si="0"/>
        <v>0</v>
      </c>
      <c r="O13" s="129">
        <f t="shared" si="0"/>
        <v>0</v>
      </c>
      <c r="P13" s="129">
        <f t="shared" si="0"/>
        <v>0</v>
      </c>
    </row>
    <row r="14" spans="1:16" ht="30" customHeight="1" x14ac:dyDescent="0.35">
      <c r="B14" s="102" t="s">
        <v>74</v>
      </c>
      <c r="C14" s="102" t="s">
        <v>3</v>
      </c>
      <c r="D14" s="102" t="s">
        <v>106</v>
      </c>
      <c r="E14" s="285"/>
      <c r="F14" s="112" t="s">
        <v>188</v>
      </c>
      <c r="G14" s="112" t="s">
        <v>189</v>
      </c>
      <c r="H14" s="112" t="s">
        <v>138</v>
      </c>
      <c r="J14" s="286" t="s">
        <v>90</v>
      </c>
      <c r="K14" s="286"/>
      <c r="L14" s="286"/>
      <c r="M14" s="286"/>
      <c r="N14" s="286"/>
      <c r="O14" s="286"/>
      <c r="P14" s="286"/>
    </row>
    <row r="15" spans="1:16" ht="30" customHeight="1" x14ac:dyDescent="0.35">
      <c r="A15" s="95">
        <v>1</v>
      </c>
      <c r="B15" s="124" t="str">
        <f ca="1">IF(C15="","",IFERROR(VLOOKUP(C15,Tabela_Unidades[[Dívida Total]:[UNID]],2,0),""))</f>
        <v/>
      </c>
      <c r="C15" s="125" t="str">
        <f ca="1">IFERROR(IF(ROUND(IFERROR(LARGE(Tabela_Unidades[Dívida Total],Dashboard!A15),""),2),"",IFERROR(LARGE(Tabela_Unidades[Dívida Total],Dashboard!A15),"")),"")</f>
        <v/>
      </c>
      <c r="D15" s="124" t="str">
        <f ca="1">IFERROR(VLOOKUP(B15,Tabela_Unidades[[#All],[Unidade]:[Contratante Atual]],7,0),"")</f>
        <v/>
      </c>
      <c r="E15" s="285"/>
      <c r="F15" s="277">
        <f ca="1">COUNTIFS(Tabela_Unidades[Status],"Locado",Tabela_Unidades[Negócio],"Cozinha")</f>
        <v>0</v>
      </c>
      <c r="G15" s="268" t="str">
        <f ca="1">COUNTIFS(Tabela_Unidades[Status],"Vacante",Tabela_Unidades[Negócio],"Cozinha")&amp;" unids"</f>
        <v>0 unids</v>
      </c>
      <c r="H15" s="271">
        <f ca="1">COUNTIF(Tabela_Reservas[Status],"Futura")</f>
        <v>0</v>
      </c>
      <c r="J15" s="130" t="s">
        <v>34</v>
      </c>
      <c r="K15" s="131">
        <f t="shared" ref="K15:P15" si="1">SUM(K16:K18)</f>
        <v>0</v>
      </c>
      <c r="L15" s="131">
        <f t="shared" si="1"/>
        <v>-296.73</v>
      </c>
      <c r="M15" s="131">
        <f t="shared" si="1"/>
        <v>-966.81</v>
      </c>
      <c r="N15" s="131">
        <f t="shared" si="1"/>
        <v>-140.25</v>
      </c>
      <c r="O15" s="131">
        <f t="shared" si="1"/>
        <v>0</v>
      </c>
      <c r="P15" s="131">
        <f t="shared" si="1"/>
        <v>0</v>
      </c>
    </row>
    <row r="16" spans="1:16" ht="30" customHeight="1" x14ac:dyDescent="0.35">
      <c r="A16" s="95">
        <f t="shared" ref="A16:A25" si="2">A15+1</f>
        <v>2</v>
      </c>
      <c r="B16" s="124" t="str">
        <f ca="1">IF(C16="","",IFERROR(VLOOKUP(C16,Tabela_Unidades[[Dívida Total]:[UNID]],2,0),""))</f>
        <v/>
      </c>
      <c r="C16" s="125" t="str">
        <f ca="1">IFERROR(IF(ROUND(IFERROR(LARGE(Tabela_Unidades[Dívida Total],Dashboard!A16),""),2),"",IFERROR(LARGE(Tabela_Unidades[Dívida Total],Dashboard!A16),"")),"")</f>
        <v/>
      </c>
      <c r="D16" s="124" t="str">
        <f ca="1">IFERROR(VLOOKUP(B16,Tabela_Unidades[[#All],[Unidade]:[Contratante Atual]],7,0),"")</f>
        <v/>
      </c>
      <c r="E16" s="285"/>
      <c r="F16" s="277"/>
      <c r="G16" s="268"/>
      <c r="H16" s="271"/>
      <c r="J16" s="132" t="s">
        <v>15</v>
      </c>
      <c r="K16" s="141">
        <f>IFERROR(GETPIVOTDATA("Valor Real",DIN_mov!$A$3,"Tipo",$J$58,"Categoria",$J$15,"Subcategoria",$J16,"Mês Referência",K$2),0)*-1</f>
        <v>0</v>
      </c>
      <c r="L16" s="141">
        <f>IFERROR(GETPIVOTDATA("Valor Real",DIN_mov!$A$3,"Tipo",$J$58,"Categoria",$J$15,"Subcategoria",$J16,"Mês Referência",L$2),0)*-1</f>
        <v>-296.73</v>
      </c>
      <c r="M16" s="141">
        <f>IFERROR(GETPIVOTDATA("Valor Real",DIN_mov!$A$3,"Tipo",$J$58,"Categoria",$J$15,"Subcategoria",$J16,"Mês Referência",M$2),0)*-1</f>
        <v>-966.81</v>
      </c>
      <c r="N16" s="141">
        <f>IFERROR(GETPIVOTDATA("Valor Real",DIN_mov!$A$3,"Tipo",$J$58,"Categoria",$J$15,"Subcategoria",$J16,"Mês Referência",N$2),0)*-1</f>
        <v>-140.25</v>
      </c>
      <c r="O16" s="141">
        <f>IFERROR(GETPIVOTDATA("Valor Real",DIN_mov!$A$3,"Tipo",$J$58,"Categoria",$J$15,"Subcategoria",$J16,"Mês Referência",O$2),0)*-1</f>
        <v>0</v>
      </c>
      <c r="P16" s="141">
        <f>IFERROR(GETPIVOTDATA("Valor Real",DIN_mov!$A$3,"Tipo",$J$58,"Categoria",$J$15,"Subcategoria",$J16,"Mês Referência",P$2),0)*-1</f>
        <v>0</v>
      </c>
    </row>
    <row r="17" spans="1:16" ht="30" customHeight="1" x14ac:dyDescent="0.35">
      <c r="A17" s="95">
        <f t="shared" si="2"/>
        <v>3</v>
      </c>
      <c r="B17" s="124" t="str">
        <f ca="1">IF(C17="","",IFERROR(VLOOKUP(C17,Tabela_Unidades[[Dívida Total]:[UNID]],2,0),""))</f>
        <v/>
      </c>
      <c r="C17" s="125" t="str">
        <f ca="1">IFERROR(IF(ROUND(IFERROR(LARGE(Tabela_Unidades[Dívida Total],Dashboard!A17),""),2),"",IFERROR(LARGE(Tabela_Unidades[Dívida Total],Dashboard!A17),"")),"")</f>
        <v/>
      </c>
      <c r="D17" s="124" t="str">
        <f ca="1">IFERROR(VLOOKUP(B17,Tabela_Unidades[[#All],[Unidade]:[Contratante Atual]],7,0),"")</f>
        <v/>
      </c>
      <c r="E17" s="285"/>
      <c r="F17" s="123" t="s">
        <v>113</v>
      </c>
      <c r="G17" s="123" t="s">
        <v>114</v>
      </c>
      <c r="H17" s="123" t="s">
        <v>164</v>
      </c>
      <c r="J17" s="132" t="s">
        <v>19</v>
      </c>
      <c r="K17" s="141">
        <f>IFERROR(GETPIVOTDATA("Valor Real",DIN_mov!$A$3,"Tipo",$J$58,"Categoria",$J$15,"Subcategoria",$J17,"Mês Referência",K$2),0)*-1</f>
        <v>0</v>
      </c>
      <c r="L17" s="141">
        <f>IFERROR(GETPIVOTDATA("Valor Real",DIN_mov!$A$3,"Tipo",$J$58,"Categoria",$J$15,"Subcategoria",$J17,"Mês Referência",L$2),0)*-1</f>
        <v>0</v>
      </c>
      <c r="M17" s="141">
        <f>IFERROR(GETPIVOTDATA("Valor Real",DIN_mov!$A$3,"Tipo",$J$58,"Categoria",$J$15,"Subcategoria",$J17,"Mês Referência",M$2),0)*-1</f>
        <v>0</v>
      </c>
      <c r="N17" s="141">
        <f>IFERROR(GETPIVOTDATA("Valor Real",DIN_mov!$A$3,"Tipo",$J$58,"Categoria",$J$15,"Subcategoria",$J17,"Mês Referência",N$2),0)*-1</f>
        <v>0</v>
      </c>
      <c r="O17" s="141">
        <f>IFERROR(GETPIVOTDATA("Valor Real",DIN_mov!$A$3,"Tipo",$J$58,"Categoria",$J$15,"Subcategoria",$J17,"Mês Referência",O$2),0)*-1</f>
        <v>0</v>
      </c>
      <c r="P17" s="141">
        <f>IFERROR(GETPIVOTDATA("Valor Real",DIN_mov!$A$3,"Tipo",$J$58,"Categoria",$J$15,"Subcategoria",$J17,"Mês Referência",P$2),0)*-1</f>
        <v>0</v>
      </c>
    </row>
    <row r="18" spans="1:16" ht="30" customHeight="1" x14ac:dyDescent="0.35">
      <c r="A18" s="95">
        <f t="shared" si="2"/>
        <v>4</v>
      </c>
      <c r="B18" s="124" t="str">
        <f ca="1">IF(C18="","",IFERROR(VLOOKUP(C18,Tabela_Unidades[[Dívida Total]:[UNID]],2,0),""))</f>
        <v/>
      </c>
      <c r="C18" s="125" t="str">
        <f ca="1">IFERROR(IF(ROUND(IFERROR(LARGE(Tabela_Unidades[Dívida Total],Dashboard!A18),""),2),"",IFERROR(LARGE(Tabela_Unidades[Dívida Total],Dashboard!A18),"")),"")</f>
        <v/>
      </c>
      <c r="D18" s="124" t="str">
        <f ca="1">IFERROR(VLOOKUP(B18,Tabela_Unidades[[#All],[Unidade]:[Contratante Atual]],7,0),"")</f>
        <v/>
      </c>
      <c r="E18" s="285"/>
      <c r="F18" s="268">
        <f ca="1">SUMIFS(Tabela_Unidades[Dívidas ex-Juros Multa],Tabela_Unidades[Situação],"Inadimplente")</f>
        <v>0</v>
      </c>
      <c r="G18" s="268">
        <f ca="1">SUMIFS(Tabela_Unidades[Dívidas ex-Juros Multa],Tabela_Unidades[Meses em Aberto],1)</f>
        <v>0</v>
      </c>
      <c r="H18" s="268">
        <f ca="1">SUMIFS(Tabela_Unidades[Dívidas ex-Juros Multa],Tabela_Unidades[Meses em Aberto],2)</f>
        <v>0</v>
      </c>
      <c r="J18" s="132" t="s">
        <v>26</v>
      </c>
      <c r="K18" s="141">
        <f>IFERROR(GETPIVOTDATA("Valor Real",DIN_mov!$A$3,"Tipo",$J$58,"Categoria",$J$15,"Subcategoria",$J18,"Mês Referência",K$2),0)*-1</f>
        <v>0</v>
      </c>
      <c r="L18" s="141">
        <f>IFERROR(GETPIVOTDATA("Valor Real",DIN_mov!$A$3,"Tipo",$J$58,"Categoria",$J$15,"Subcategoria",$J18,"Mês Referência",L$2),0)*-1</f>
        <v>0</v>
      </c>
      <c r="M18" s="141">
        <f>IFERROR(GETPIVOTDATA("Valor Real",DIN_mov!$A$3,"Tipo",$J$58,"Categoria",$J$15,"Subcategoria",$J18,"Mês Referência",M$2),0)*-1</f>
        <v>0</v>
      </c>
      <c r="N18" s="141">
        <f>IFERROR(GETPIVOTDATA("Valor Real",DIN_mov!$A$3,"Tipo",$J$58,"Categoria",$J$15,"Subcategoria",$J18,"Mês Referência",N$2),0)*-1</f>
        <v>0</v>
      </c>
      <c r="O18" s="141">
        <f>IFERROR(GETPIVOTDATA("Valor Real",DIN_mov!$A$3,"Tipo",$J$58,"Categoria",$J$15,"Subcategoria",$J18,"Mês Referência",O$2),0)*-1</f>
        <v>0</v>
      </c>
      <c r="P18" s="141">
        <f>IFERROR(GETPIVOTDATA("Valor Real",DIN_mov!$A$3,"Tipo",$J$58,"Categoria",$J$15,"Subcategoria",$J18,"Mês Referência",P$2),0)*-1</f>
        <v>0</v>
      </c>
    </row>
    <row r="19" spans="1:16" ht="30" customHeight="1" x14ac:dyDescent="0.35">
      <c r="A19" s="95">
        <f t="shared" si="2"/>
        <v>5</v>
      </c>
      <c r="B19" s="124" t="str">
        <f ca="1">IF(C19="","",IFERROR(VLOOKUP(C19,Tabela_Unidades[[Dívida Total]:[UNID]],2,0),""))</f>
        <v/>
      </c>
      <c r="C19" s="125" t="str">
        <f ca="1">IFERROR(IF(ROUND(IFERROR(LARGE(Tabela_Unidades[Dívida Total],Dashboard!A19),""),2),"",IFERROR(LARGE(Tabela_Unidades[Dívida Total],Dashboard!A19),"")),"")</f>
        <v/>
      </c>
      <c r="D19" s="124" t="str">
        <f ca="1">IFERROR(VLOOKUP(B19,Tabela_Unidades[[#All],[Unidade]:[Contratante Atual]],7,0),"")</f>
        <v/>
      </c>
      <c r="E19" s="285"/>
      <c r="F19" s="268"/>
      <c r="G19" s="268"/>
      <c r="H19" s="268"/>
      <c r="J19" s="130" t="s">
        <v>8</v>
      </c>
      <c r="K19" s="131">
        <f>SUM(K20:K22)</f>
        <v>-20.81</v>
      </c>
      <c r="L19" s="131">
        <f t="shared" ref="L19:P19" si="3">SUM(L20:L22)</f>
        <v>0</v>
      </c>
      <c r="M19" s="131">
        <f t="shared" si="3"/>
        <v>-21.99</v>
      </c>
      <c r="N19" s="131">
        <f t="shared" si="3"/>
        <v>-18.29</v>
      </c>
      <c r="O19" s="131">
        <f t="shared" si="3"/>
        <v>0</v>
      </c>
      <c r="P19" s="131">
        <f t="shared" si="3"/>
        <v>0</v>
      </c>
    </row>
    <row r="20" spans="1:16" ht="30" customHeight="1" x14ac:dyDescent="0.35">
      <c r="A20" s="95">
        <f t="shared" si="2"/>
        <v>6</v>
      </c>
      <c r="B20" s="124" t="str">
        <f ca="1">IF(C20="","",IFERROR(VLOOKUP(C20,Tabela_Unidades[[Dívida Total]:[UNID]],2,0),""))</f>
        <v/>
      </c>
      <c r="C20" s="125" t="str">
        <f ca="1">IFERROR(IF(ROUND(IFERROR(LARGE(Tabela_Unidades[Dívida Total],Dashboard!A20),""),2),"",IFERROR(LARGE(Tabela_Unidades[Dívida Total],Dashboard!A20),"")),"")</f>
        <v/>
      </c>
      <c r="D20" s="124" t="str">
        <f ca="1">IFERROR(VLOOKUP(B20,Tabela_Unidades[[#All],[Unidade]:[Contratante Atual]],7,0),"")</f>
        <v/>
      </c>
      <c r="E20" s="285"/>
      <c r="F20" s="123" t="s">
        <v>186</v>
      </c>
      <c r="G20" s="123" t="s">
        <v>187</v>
      </c>
      <c r="H20" s="123" t="s">
        <v>485</v>
      </c>
      <c r="J20" s="132" t="s">
        <v>88</v>
      </c>
      <c r="K20" s="141">
        <f>IFERROR(GETPIVOTDATA("Valor Real",DIN_mov!$A$3,"Tipo",$J$58,"Categoria",$J$19,"Subcategoria",$J20,"Mês Referência",K$2),0)*-1</f>
        <v>-20.81</v>
      </c>
      <c r="L20" s="141">
        <f>IFERROR(GETPIVOTDATA("Valor Real",DIN_mov!$A$3,"Tipo",$J$58,"Categoria",$J$19,"Subcategoria",$J20,"Mês Referência",L$2),0)*-1</f>
        <v>0</v>
      </c>
      <c r="M20" s="141">
        <f>IFERROR(GETPIVOTDATA("Valor Real",DIN_mov!$A$3,"Tipo",$J$58,"Categoria",$J$19,"Subcategoria",$J20,"Mês Referência",M$2),0)*-1</f>
        <v>-21.99</v>
      </c>
      <c r="N20" s="141">
        <f>IFERROR(GETPIVOTDATA("Valor Real",DIN_mov!$A$3,"Tipo",$J$58,"Categoria",$J$19,"Subcategoria",$J20,"Mês Referência",N$2),0)*-1</f>
        <v>-18.29</v>
      </c>
      <c r="O20" s="141">
        <f>IFERROR(GETPIVOTDATA("Valor Real",DIN_mov!$A$3,"Tipo",$J$58,"Categoria",$J$19,"Subcategoria",$J20,"Mês Referência",O$2),0)*-1</f>
        <v>0</v>
      </c>
      <c r="P20" s="141">
        <f>IFERROR(GETPIVOTDATA("Valor Real",DIN_mov!$A$3,"Tipo",$J$58,"Categoria",$J$19,"Subcategoria",$J20,"Mês Referência",P$2),0)*-1</f>
        <v>0</v>
      </c>
    </row>
    <row r="21" spans="1:16" ht="30" customHeight="1" x14ac:dyDescent="0.35">
      <c r="A21" s="95">
        <f t="shared" si="2"/>
        <v>7</v>
      </c>
      <c r="B21" s="124" t="str">
        <f ca="1">IF(C21="","",IFERROR(VLOOKUP(C21,Tabela_Unidades[[Dívida Total]:[UNID]],2,0),""))</f>
        <v/>
      </c>
      <c r="C21" s="125" t="str">
        <f ca="1">IFERROR(IF(ROUND(IFERROR(LARGE(Tabela_Unidades[Dívida Total],Dashboard!A21),""),2),"",IFERROR(LARGE(Tabela_Unidades[Dívida Total],Dashboard!A21),"")),"")</f>
        <v/>
      </c>
      <c r="D21" s="124" t="str">
        <f ca="1">IFERROR(VLOOKUP(B21,Tabela_Unidades[[#All],[Unidade]:[Contratante Atual]],7,0),"")</f>
        <v/>
      </c>
      <c r="E21" s="285"/>
      <c r="F21" s="270">
        <f ca="1">COUNTIFS(Tabela_Unidades[Meses p/ Expirar],2)</f>
        <v>0</v>
      </c>
      <c r="G21" s="270">
        <f ca="1">COUNTIFS(Tabela_Unidades[Meses p/ Expirar],1)</f>
        <v>0</v>
      </c>
      <c r="H21" s="269">
        <f ca="1">SUMIFS(Tabela_Unidades[Preço Atual],Tabela_Unidades[Status],"Vacante")</f>
        <v>28110</v>
      </c>
      <c r="J21" s="132" t="s">
        <v>42</v>
      </c>
      <c r="K21" s="141">
        <f>IFERROR(GETPIVOTDATA("Valor Real",DIN_mov!$A$3,"Tipo",$J$58,"Categoria",$J$19,"Subcategoria",$J21,"Mês Referência",K$2),0)*-1</f>
        <v>0</v>
      </c>
      <c r="L21" s="141">
        <f>IFERROR(GETPIVOTDATA("Valor Real",DIN_mov!$A$3,"Tipo",$J$58,"Categoria",$J$19,"Subcategoria",$J21,"Mês Referência",L$2),0)*-1</f>
        <v>0</v>
      </c>
      <c r="M21" s="141">
        <f>IFERROR(GETPIVOTDATA("Valor Real",DIN_mov!$A$3,"Tipo",$J$58,"Categoria",$J$19,"Subcategoria",$J21,"Mês Referência",M$2),0)*-1</f>
        <v>0</v>
      </c>
      <c r="N21" s="141">
        <f>IFERROR(GETPIVOTDATA("Valor Real",DIN_mov!$A$3,"Tipo",$J$58,"Categoria",$J$19,"Subcategoria",$J21,"Mês Referência",N$2),0)*-1</f>
        <v>0</v>
      </c>
      <c r="O21" s="141">
        <f>IFERROR(GETPIVOTDATA("Valor Real",DIN_mov!$A$3,"Tipo",$J$58,"Categoria",$J$19,"Subcategoria",$J21,"Mês Referência",O$2),0)*-1</f>
        <v>0</v>
      </c>
      <c r="P21" s="141">
        <f>IFERROR(GETPIVOTDATA("Valor Real",DIN_mov!$A$3,"Tipo",$J$58,"Categoria",$J$19,"Subcategoria",$J21,"Mês Referência",P$2),0)*-1</f>
        <v>0</v>
      </c>
    </row>
    <row r="22" spans="1:16" ht="30" customHeight="1" x14ac:dyDescent="0.35">
      <c r="A22" s="95">
        <f t="shared" si="2"/>
        <v>8</v>
      </c>
      <c r="B22" s="124" t="str">
        <f ca="1">IF(C22="","",IFERROR(VLOOKUP(C22,Tabela_Unidades[[Dívida Total]:[UNID]],2,0),""))</f>
        <v/>
      </c>
      <c r="C22" s="125" t="str">
        <f ca="1">IFERROR(IF(ROUND(IFERROR(LARGE(Tabela_Unidades[Dívida Total],Dashboard!A22),""),2),"",IFERROR(LARGE(Tabela_Unidades[Dívida Total],Dashboard!A22),"")),"")</f>
        <v/>
      </c>
      <c r="D22" s="124" t="str">
        <f ca="1">IFERROR(VLOOKUP(B22,Tabela_Unidades[[#All],[Unidade]:[Contratante Atual]],7,0),"")</f>
        <v/>
      </c>
      <c r="E22" s="285"/>
      <c r="F22" s="270"/>
      <c r="G22" s="270"/>
      <c r="H22" s="269"/>
      <c r="J22" s="132" t="s">
        <v>196</v>
      </c>
      <c r="K22" s="141">
        <f>IFERROR(GETPIVOTDATA("Valor Real",DIN_mov!$A$3,"Tipo",$J$58,"Categoria",$J$19,"Subcategoria",$J22,"Mês Referência",K$2),0)*-1</f>
        <v>0</v>
      </c>
      <c r="L22" s="141">
        <f>IFERROR(GETPIVOTDATA("Valor Real",DIN_mov!$A$3,"Tipo",$J$58,"Categoria",$J$19,"Subcategoria",$J22,"Mês Referência",L$2),0)*-1</f>
        <v>0</v>
      </c>
      <c r="M22" s="141">
        <f>IFERROR(GETPIVOTDATA("Valor Real",DIN_mov!$A$3,"Tipo",$J$58,"Categoria",$J$19,"Subcategoria",$J22,"Mês Referência",M$2),0)*-1</f>
        <v>0</v>
      </c>
      <c r="N22" s="141">
        <f>IFERROR(GETPIVOTDATA("Valor Real",DIN_mov!$A$3,"Tipo",$J$58,"Categoria",$J$19,"Subcategoria",$J22,"Mês Referência",N$2),0)*-1</f>
        <v>0</v>
      </c>
      <c r="O22" s="141">
        <f>IFERROR(GETPIVOTDATA("Valor Real",DIN_mov!$A$3,"Tipo",$J$58,"Categoria",$J$19,"Subcategoria",$J22,"Mês Referência",O$2),0)*-1</f>
        <v>0</v>
      </c>
      <c r="P22" s="141">
        <f>IFERROR(GETPIVOTDATA("Valor Real",DIN_mov!$A$3,"Tipo",$J$58,"Categoria",$J$19,"Subcategoria",$J22,"Mês Referência",P$2),0)*-1</f>
        <v>0</v>
      </c>
    </row>
    <row r="23" spans="1:16" ht="30" customHeight="1" x14ac:dyDescent="0.35">
      <c r="A23" s="95">
        <f t="shared" si="2"/>
        <v>9</v>
      </c>
      <c r="B23" s="124" t="str">
        <f ca="1">IF(C23="","",IFERROR(VLOOKUP(C23,Tabela_Unidades[[Dívida Total]:[UNID]],2,0),""))</f>
        <v/>
      </c>
      <c r="C23" s="125" t="str">
        <f ca="1">IFERROR(IF(ROUND(IFERROR(LARGE(Tabela_Unidades[Dívida Total],Dashboard!A23),""),2),"",IFERROR(LARGE(Tabela_Unidades[Dívida Total],Dashboard!A23),"")),"")</f>
        <v/>
      </c>
      <c r="D23" s="124" t="str">
        <f ca="1">IFERROR(VLOOKUP(B23,Tabela_Unidades[[#All],[Unidade]:[Contratante Atual]],7,0),"")</f>
        <v/>
      </c>
      <c r="E23" s="285"/>
      <c r="F23" s="123" t="s">
        <v>323</v>
      </c>
      <c r="G23" s="123" t="s">
        <v>324</v>
      </c>
      <c r="H23" s="123" t="s">
        <v>185</v>
      </c>
      <c r="J23" s="130" t="s">
        <v>10</v>
      </c>
      <c r="K23" s="131">
        <f>SUM(K24)</f>
        <v>0</v>
      </c>
      <c r="L23" s="131">
        <f t="shared" ref="L23:P23" si="4">SUM(L24)</f>
        <v>0</v>
      </c>
      <c r="M23" s="131">
        <f t="shared" si="4"/>
        <v>0</v>
      </c>
      <c r="N23" s="131">
        <f t="shared" si="4"/>
        <v>0</v>
      </c>
      <c r="O23" s="131">
        <f t="shared" si="4"/>
        <v>0</v>
      </c>
      <c r="P23" s="131">
        <f t="shared" si="4"/>
        <v>0</v>
      </c>
    </row>
    <row r="24" spans="1:16" ht="30" customHeight="1" x14ac:dyDescent="0.35">
      <c r="A24" s="95">
        <f t="shared" si="2"/>
        <v>10</v>
      </c>
      <c r="B24" s="124" t="str">
        <f ca="1">IF(C24="","",IFERROR(VLOOKUP(C24,Tabela_Unidades[[Dívida Total]:[UNID]],2,0),""))</f>
        <v/>
      </c>
      <c r="C24" s="125" t="str">
        <f ca="1">IFERROR(IF(ROUND(IFERROR(LARGE(Tabela_Unidades[Dívida Total],Dashboard!A24),""),2),"",IFERROR(LARGE(Tabela_Unidades[Dívida Total],Dashboard!A24),"")),"")</f>
        <v/>
      </c>
      <c r="D24" s="124" t="str">
        <f ca="1">IFERROR(VLOOKUP(B24,Tabela_Unidades[[#All],[Unidade]:[Contratante Atual]],7,0),"")</f>
        <v/>
      </c>
      <c r="E24" s="285"/>
      <c r="F24" s="268">
        <f ca="1">SUMIFS(Tabela_Movimentacao[Valor],Tabela_Movimentacao[Status],"Vencido",Tabela_Movimentacao[Tipo],"Receita")</f>
        <v>0</v>
      </c>
      <c r="G24" s="268">
        <f ca="1">SUMIFS(Tabela_Movimentacao[Valor],Tabela_Movimentacao[Status],"Vencido",Tabela_Movimentacao[Tipo],"Despesa")</f>
        <v>190</v>
      </c>
      <c r="H24" s="268">
        <f ca="1">SUMIFS(Unidades!E5:E15,Unidades!J5:J15,"Vacante")</f>
        <v>8550</v>
      </c>
      <c r="J24" s="132" t="s">
        <v>9</v>
      </c>
      <c r="K24" s="141">
        <f>IFERROR(GETPIVOTDATA("Valor Real",DIN_mov!$A$3,"Tipo",$J$58,"Categoria",$J$23,"Subcategoria",$J24,"Mês Referência",K$2),0)*-1</f>
        <v>0</v>
      </c>
      <c r="L24" s="141">
        <f>IFERROR(GETPIVOTDATA("Valor Real",DIN_mov!$A$3,"Tipo",$J$58,"Categoria",$J$23,"Subcategoria",$J24,"Mês Referência",L$2),0)*-1</f>
        <v>0</v>
      </c>
      <c r="M24" s="141">
        <f>IFERROR(GETPIVOTDATA("Valor Real",DIN_mov!$A$3,"Tipo",$J$58,"Categoria",$J$23,"Subcategoria",$J24,"Mês Referência",M$2),0)*-1</f>
        <v>0</v>
      </c>
      <c r="N24" s="141">
        <f>IFERROR(GETPIVOTDATA("Valor Real",DIN_mov!$A$3,"Tipo",$J$58,"Categoria",$J$23,"Subcategoria",$J24,"Mês Referência",N$2),0)*-1</f>
        <v>0</v>
      </c>
      <c r="O24" s="141">
        <f>IFERROR(GETPIVOTDATA("Valor Real",DIN_mov!$A$3,"Tipo",$J$58,"Categoria",$J$23,"Subcategoria",$J24,"Mês Referência",O$2),0)*-1</f>
        <v>0</v>
      </c>
      <c r="P24" s="141">
        <f>IFERROR(GETPIVOTDATA("Valor Real",DIN_mov!$A$3,"Tipo",$J$58,"Categoria",$J$23,"Subcategoria",$J24,"Mês Referência",P$2),0)*-1</f>
        <v>0</v>
      </c>
    </row>
    <row r="25" spans="1:16" ht="30" customHeight="1" x14ac:dyDescent="0.35">
      <c r="A25" s="95">
        <f t="shared" si="2"/>
        <v>11</v>
      </c>
      <c r="B25" s="124" t="str">
        <f ca="1">IF(C25="","",IFERROR(VLOOKUP(C25,Tabela_Unidades[[Dívida Total]:[UNID]],2,0),""))</f>
        <v/>
      </c>
      <c r="C25" s="125" t="str">
        <f ca="1">IFERROR(IF(ROUND(IFERROR(LARGE(Tabela_Unidades[Dívida Total],Dashboard!A25),""),2),"",IFERROR(LARGE(Tabela_Unidades[Dívida Total],Dashboard!A25),"")),"")</f>
        <v/>
      </c>
      <c r="D25" s="124" t="str">
        <f ca="1">IFERROR(VLOOKUP(B25,Tabela_Unidades[[#All],[Unidade]:[Contratante Atual]],7,0),"")</f>
        <v/>
      </c>
      <c r="E25" s="285"/>
      <c r="F25" s="271"/>
      <c r="G25" s="271"/>
      <c r="H25" s="268"/>
      <c r="J25" s="132" t="s">
        <v>177</v>
      </c>
      <c r="K25" s="141">
        <f>IFERROR(GETPIVOTDATA("Valor Real",DIN_mov!$A$3,"Tipo",$J$58,"Categoria",$J$23,"Subcategoria",$J25,"Mês Referência",K$2),0)*-1</f>
        <v>0</v>
      </c>
      <c r="L25" s="141">
        <f>IFERROR(GETPIVOTDATA("Valor Real",DIN_mov!$A$3,"Tipo",$J$58,"Categoria",$J$23,"Subcategoria",$J25,"Mês Referência",L$2),0)*-1</f>
        <v>0</v>
      </c>
      <c r="M25" s="141">
        <f>IFERROR(GETPIVOTDATA("Valor Real",DIN_mov!$A$3,"Tipo",$J$58,"Categoria",$J$23,"Subcategoria",$J25,"Mês Referência",M$2),0)*-1</f>
        <v>0</v>
      </c>
      <c r="N25" s="141">
        <f>IFERROR(GETPIVOTDATA("Valor Real",DIN_mov!$A$3,"Tipo",$J$58,"Categoria",$J$23,"Subcategoria",$J25,"Mês Referência",N$2),0)*-1</f>
        <v>0</v>
      </c>
      <c r="O25" s="141">
        <f>IFERROR(GETPIVOTDATA("Valor Real",DIN_mov!$A$3,"Tipo",$J$58,"Categoria",$J$23,"Subcategoria",$J25,"Mês Referência",O$2),0)*-1</f>
        <v>0</v>
      </c>
      <c r="P25" s="141">
        <f>IFERROR(GETPIVOTDATA("Valor Real",DIN_mov!$A$3,"Tipo",$J$58,"Categoria",$J$23,"Subcategoria",$J25,"Mês Referência",P$2),0)*-1</f>
        <v>0</v>
      </c>
    </row>
    <row r="26" spans="1:16" ht="30" customHeight="1" x14ac:dyDescent="0.35">
      <c r="C26" s="16"/>
      <c r="D26" s="16"/>
      <c r="E26" s="49"/>
      <c r="F26" s="19"/>
      <c r="G26" s="19"/>
      <c r="H26" s="91"/>
      <c r="J26" s="132" t="s">
        <v>219</v>
      </c>
      <c r="K26" s="141">
        <f>IFERROR(GETPIVOTDATA("Valor Real",DIN_mov!$A$3,"Tipo",$J$58,"Categoria",$J$23,"Subcategoria",$J26,"Mês Referência",K$2),0)*-1</f>
        <v>0</v>
      </c>
      <c r="L26" s="141">
        <f>IFERROR(GETPIVOTDATA("Valor Real",DIN_mov!$A$3,"Tipo",$J$58,"Categoria",$J$23,"Subcategoria",$J26,"Mês Referência",L$2),0)*-1</f>
        <v>0</v>
      </c>
      <c r="M26" s="141">
        <f>IFERROR(GETPIVOTDATA("Valor Real",DIN_mov!$A$3,"Tipo",$J$58,"Categoria",$J$23,"Subcategoria",$J26,"Mês Referência",M$2),0)*-1</f>
        <v>0</v>
      </c>
      <c r="N26" s="141">
        <f>IFERROR(GETPIVOTDATA("Valor Real",DIN_mov!$A$3,"Tipo",$J$58,"Categoria",$J$23,"Subcategoria",$J26,"Mês Referência",N$2),0)*-1</f>
        <v>0</v>
      </c>
      <c r="O26" s="141">
        <f>IFERROR(GETPIVOTDATA("Valor Real",DIN_mov!$A$3,"Tipo",$J$58,"Categoria",$J$23,"Subcategoria",$J26,"Mês Referência",O$2),0)*-1</f>
        <v>0</v>
      </c>
      <c r="P26" s="141">
        <f>IFERROR(GETPIVOTDATA("Valor Real",DIN_mov!$A$3,"Tipo",$J$58,"Categoria",$J$23,"Subcategoria",$J26,"Mês Referência",P$2),0)*-1</f>
        <v>0</v>
      </c>
    </row>
    <row r="27" spans="1:16" ht="30" customHeight="1" x14ac:dyDescent="0.35">
      <c r="J27" s="130" t="s">
        <v>13</v>
      </c>
      <c r="K27" s="131">
        <f t="shared" ref="K27:P27" si="5">SUM(K28:K31)</f>
        <v>-976.03</v>
      </c>
      <c r="L27" s="131">
        <f t="shared" si="5"/>
        <v>-976.03</v>
      </c>
      <c r="M27" s="131">
        <f t="shared" si="5"/>
        <v>-976.03</v>
      </c>
      <c r="N27" s="131">
        <f t="shared" si="5"/>
        <v>-976.03</v>
      </c>
      <c r="O27" s="131">
        <f t="shared" si="5"/>
        <v>-976.03</v>
      </c>
      <c r="P27" s="131">
        <f t="shared" si="5"/>
        <v>0</v>
      </c>
    </row>
    <row r="28" spans="1:16" ht="30" customHeight="1" x14ac:dyDescent="0.35">
      <c r="B28" s="275" t="s">
        <v>205</v>
      </c>
      <c r="C28" s="275"/>
      <c r="D28" s="275"/>
      <c r="E28" s="275"/>
      <c r="F28" s="275"/>
      <c r="G28" s="113" t="s">
        <v>145</v>
      </c>
      <c r="H28" s="114">
        <v>0.01</v>
      </c>
      <c r="J28" s="132" t="s">
        <v>20</v>
      </c>
      <c r="K28" s="141">
        <f>IFERROR(GETPIVOTDATA("Valor Real",DIN_mov!$A$3,"Tipo",$J$58,"Categoria",$J$27,"Subcategoria",$J28,"Mês Referência",K$2),0)*-1</f>
        <v>0</v>
      </c>
      <c r="L28" s="141">
        <f>IFERROR(GETPIVOTDATA("Valor Real",DIN_mov!$A$3,"Tipo",$J$58,"Categoria",$J$27,"Subcategoria",$J28,"Mês Referência",L$2),0)*-1</f>
        <v>0</v>
      </c>
      <c r="M28" s="141">
        <f>IFERROR(GETPIVOTDATA("Valor Real",DIN_mov!$A$3,"Tipo",$J$58,"Categoria",$J$27,"Subcategoria",$J28,"Mês Referência",M$2),0)*-1</f>
        <v>0</v>
      </c>
      <c r="N28" s="141">
        <f>IFERROR(GETPIVOTDATA("Valor Real",DIN_mov!$A$3,"Tipo",$J$58,"Categoria",$J$27,"Subcategoria",$J28,"Mês Referência",N$2),0)*-1</f>
        <v>0</v>
      </c>
      <c r="O28" s="141">
        <f>IFERROR(GETPIVOTDATA("Valor Real",DIN_mov!$A$3,"Tipo",$J$58,"Categoria",$J$27,"Subcategoria",$J28,"Mês Referência",O$2),0)*-1</f>
        <v>0</v>
      </c>
      <c r="P28" s="141">
        <f>IFERROR(GETPIVOTDATA("Valor Real",DIN_mov!$A$3,"Tipo",$J$58,"Categoria",$J$27,"Subcategoria",$J28,"Mês Referência",P$2),0)*-1</f>
        <v>0</v>
      </c>
    </row>
    <row r="29" spans="1:16" ht="30" customHeight="1" x14ac:dyDescent="0.35">
      <c r="B29" s="102" t="s">
        <v>148</v>
      </c>
      <c r="C29" s="102" t="s">
        <v>142</v>
      </c>
      <c r="D29" s="102" t="s">
        <v>143</v>
      </c>
      <c r="E29" s="102" t="s">
        <v>144</v>
      </c>
      <c r="F29" s="102" t="s">
        <v>146</v>
      </c>
      <c r="G29" s="102" t="s">
        <v>207</v>
      </c>
      <c r="H29" s="102" t="s">
        <v>147</v>
      </c>
      <c r="J29" s="132" t="s">
        <v>16</v>
      </c>
      <c r="K29" s="141">
        <f>IFERROR(GETPIVOTDATA("Valor Real",DIN_mov!$A$3,"Tipo",$J$58,"Categoria",$J$27,"Subcategoria",$J29,"Mês Referência",K$2),0)*-1</f>
        <v>-976.03</v>
      </c>
      <c r="L29" s="141">
        <f>IFERROR(GETPIVOTDATA("Valor Real",DIN_mov!$A$3,"Tipo",$J$58,"Categoria",$J$27,"Subcategoria",$J29,"Mês Referência",L$2),0)*-1</f>
        <v>-976.03</v>
      </c>
      <c r="M29" s="141">
        <f>IFERROR(GETPIVOTDATA("Valor Real",DIN_mov!$A$3,"Tipo",$J$58,"Categoria",$J$27,"Subcategoria",$J29,"Mês Referência",M$2),0)*-1</f>
        <v>-976.03</v>
      </c>
      <c r="N29" s="141">
        <f>IFERROR(GETPIVOTDATA("Valor Real",DIN_mov!$A$3,"Tipo",$J$58,"Categoria",$J$27,"Subcategoria",$J29,"Mês Referência",N$2),0)*-1</f>
        <v>-976.03</v>
      </c>
      <c r="O29" s="141">
        <f>IFERROR(GETPIVOTDATA("Valor Real",DIN_mov!$A$3,"Tipo",$J$58,"Categoria",$J$27,"Subcategoria",$J29,"Mês Referência",O$2),0)*-1</f>
        <v>-976.03</v>
      </c>
      <c r="P29" s="141">
        <f>IFERROR(GETPIVOTDATA("Valor Real",DIN_mov!$A$3,"Tipo",$J$58,"Categoria",$J$27,"Subcategoria",$J29,"Mês Referência",P$2),0)*-1</f>
        <v>0</v>
      </c>
    </row>
    <row r="30" spans="1:16" ht="30" customHeight="1" x14ac:dyDescent="0.35">
      <c r="B30" s="115">
        <f ca="1">TODAY()</f>
        <v>44362</v>
      </c>
      <c r="C30" s="116" t="str">
        <f t="shared" ref="C30:C60" ca="1" si="6">TEXT(WEEKDAY(B30,1),"dddd")</f>
        <v>terça-feira</v>
      </c>
      <c r="D30" s="117">
        <f ca="1">SUMIFS(Tabela_Movimentacao[Valor Fluxo],Tabela_Movimentacao[Vencimento Útil],Dashboard!B30,Tabela_Movimentacao[Tipo],"Receita")+SUMIFS(Tabela_Movimentacao[Valor Fluxo],Tabela_Movimentacao[Vencimento Útil],Dashboard!B30,Tabela_Movimentacao[Tipo],"Aporte")</f>
        <v>0</v>
      </c>
      <c r="E30" s="118">
        <f ca="1">SUMIFS(Tabela_Movimentacao[Valor Fluxo],Tabela_Movimentacao[Vencimento Útil],Dashboard!B30,Tabela_Movimentacao[Tipo],"Despesa")*-1</f>
        <v>0</v>
      </c>
      <c r="F30" s="119"/>
      <c r="G30" s="120">
        <f ca="1">H28+SUM(D30:F30)</f>
        <v>0.01</v>
      </c>
      <c r="H30" s="118">
        <f t="shared" ref="H30:H60" ca="1" si="7">SUM(D30:F30)</f>
        <v>0</v>
      </c>
      <c r="J30" s="132" t="s">
        <v>30</v>
      </c>
      <c r="K30" s="141">
        <f>IFERROR(GETPIVOTDATA("Valor Real",DIN_mov!$A$3,"Tipo",$J$58,"Categoria",$J$27,"Subcategoria",$J30,"Mês Referência",K$2),0)*-1</f>
        <v>0</v>
      </c>
      <c r="L30" s="141">
        <f>IFERROR(GETPIVOTDATA("Valor Real",DIN_mov!$A$3,"Tipo",$J$58,"Categoria",$J$27,"Subcategoria",$J30,"Mês Referência",L$2),0)*-1</f>
        <v>0</v>
      </c>
      <c r="M30" s="141">
        <f>IFERROR(GETPIVOTDATA("Valor Real",DIN_mov!$A$3,"Tipo",$J$58,"Categoria",$J$27,"Subcategoria",$J30,"Mês Referência",M$2),0)*-1</f>
        <v>0</v>
      </c>
      <c r="N30" s="141">
        <f>IFERROR(GETPIVOTDATA("Valor Real",DIN_mov!$A$3,"Tipo",$J$58,"Categoria",$J$27,"Subcategoria",$J30,"Mês Referência",N$2),0)*-1</f>
        <v>0</v>
      </c>
      <c r="O30" s="141">
        <f>IFERROR(GETPIVOTDATA("Valor Real",DIN_mov!$A$3,"Tipo",$J$58,"Categoria",$J$27,"Subcategoria",$J30,"Mês Referência",O$2),0)*-1</f>
        <v>0</v>
      </c>
      <c r="P30" s="141">
        <f>IFERROR(GETPIVOTDATA("Valor Real",DIN_mov!$A$3,"Tipo",$J$58,"Categoria",$J$27,"Subcategoria",$J30,"Mês Referência",P$2),0)*-1</f>
        <v>0</v>
      </c>
    </row>
    <row r="31" spans="1:16" ht="30" customHeight="1" x14ac:dyDescent="0.35">
      <c r="B31" s="115">
        <f t="shared" ref="B31:B60" ca="1" si="8">B30+1</f>
        <v>44363</v>
      </c>
      <c r="C31" s="116" t="str">
        <f t="shared" ca="1" si="6"/>
        <v>quarta-feira</v>
      </c>
      <c r="D31" s="117">
        <f ca="1">SUMIFS(Tabela_Movimentacao[Valor Fluxo],Tabela_Movimentacao[Vencimento Útil],Dashboard!B31,Tabela_Movimentacao[Tipo],"Receita")+SUMIFS(Tabela_Movimentacao[Valor Fluxo],Tabela_Movimentacao[Vencimento Útil],Dashboard!B31,Tabela_Movimentacao[Tipo],"Aporte")</f>
        <v>0</v>
      </c>
      <c r="E31" s="118">
        <f ca="1">SUMIFS(Tabela_Movimentacao[Valor Fluxo],Tabela_Movimentacao[Vencimento Útil],Dashboard!B31,Tabela_Movimentacao[Tipo],"Despesa")*-1</f>
        <v>0</v>
      </c>
      <c r="F31" s="119"/>
      <c r="G31" s="120">
        <f t="shared" ref="G31:G60" ca="1" si="9">G30+SUM(D31:F31)</f>
        <v>0.01</v>
      </c>
      <c r="H31" s="118">
        <f t="shared" ca="1" si="7"/>
        <v>0</v>
      </c>
      <c r="J31" s="132" t="s">
        <v>107</v>
      </c>
      <c r="K31" s="141">
        <f>IFERROR(GETPIVOTDATA("Valor Real",DIN_mov!$A$3,"Tipo",$J$58,"Categoria",$J$27,"Subcategoria",$J31,"Mês Referência",K$2),0)*-1</f>
        <v>0</v>
      </c>
      <c r="L31" s="141">
        <f>IFERROR(GETPIVOTDATA("Valor Real",DIN_mov!$A$3,"Tipo",$J$58,"Categoria",$J$27,"Subcategoria",$J31,"Mês Referência",L$2),0)*-1</f>
        <v>0</v>
      </c>
      <c r="M31" s="141">
        <f>IFERROR(GETPIVOTDATA("Valor Real",DIN_mov!$A$3,"Tipo",$J$58,"Categoria",$J$27,"Subcategoria",$J31,"Mês Referência",M$2),0)*-1</f>
        <v>0</v>
      </c>
      <c r="N31" s="141">
        <f>IFERROR(GETPIVOTDATA("Valor Real",DIN_mov!$A$3,"Tipo",$J$58,"Categoria",$J$27,"Subcategoria",$J31,"Mês Referência",N$2),0)*-1</f>
        <v>0</v>
      </c>
      <c r="O31" s="141">
        <f>IFERROR(GETPIVOTDATA("Valor Real",DIN_mov!$A$3,"Tipo",$J$58,"Categoria",$J$27,"Subcategoria",$J31,"Mês Referência",O$2),0)*-1</f>
        <v>0</v>
      </c>
      <c r="P31" s="141">
        <f>IFERROR(GETPIVOTDATA("Valor Real",DIN_mov!$A$3,"Tipo",$J$58,"Categoria",$J$27,"Subcategoria",$J31,"Mês Referência",P$2),0)*-1</f>
        <v>0</v>
      </c>
    </row>
    <row r="32" spans="1:16" ht="30" customHeight="1" x14ac:dyDescent="0.35">
      <c r="B32" s="115">
        <f t="shared" ca="1" si="8"/>
        <v>44364</v>
      </c>
      <c r="C32" s="116" t="str">
        <f t="shared" ca="1" si="6"/>
        <v>quinta-feira</v>
      </c>
      <c r="D32" s="117">
        <f ca="1">SUMIFS(Tabela_Movimentacao[Valor Fluxo],Tabela_Movimentacao[Vencimento Útil],Dashboard!B32,Tabela_Movimentacao[Tipo],"Receita")+SUMIFS(Tabela_Movimentacao[Valor Fluxo],Tabela_Movimentacao[Vencimento Útil],Dashboard!B32,Tabela_Movimentacao[Tipo],"Aporte")</f>
        <v>0</v>
      </c>
      <c r="E32" s="118">
        <f ca="1">SUMIFS(Tabela_Movimentacao[Valor Fluxo],Tabela_Movimentacao[Vencimento Útil],Dashboard!B32,Tabela_Movimentacao[Tipo],"Despesa")*-1</f>
        <v>0</v>
      </c>
      <c r="F32" s="119"/>
      <c r="G32" s="120">
        <f t="shared" ca="1" si="9"/>
        <v>0.01</v>
      </c>
      <c r="H32" s="118">
        <f t="shared" ca="1" si="7"/>
        <v>0</v>
      </c>
      <c r="J32" s="132" t="s">
        <v>29</v>
      </c>
      <c r="K32" s="141">
        <f>IFERROR(GETPIVOTDATA("Valor Real",DIN_mov!$A$3,"Tipo",$J$58,"Categoria",$J$27,"Subcategoria",$J32,"Mês Referência",K$2),0)*-1</f>
        <v>0</v>
      </c>
      <c r="L32" s="141">
        <f>IFERROR(GETPIVOTDATA("Valor Real",DIN_mov!$A$3,"Tipo",$J$58,"Categoria",$J$27,"Subcategoria",$J32,"Mês Referência",L$2),0)*-1</f>
        <v>0</v>
      </c>
      <c r="M32" s="141">
        <f>IFERROR(GETPIVOTDATA("Valor Real",DIN_mov!$A$3,"Tipo",$J$58,"Categoria",$J$27,"Subcategoria",$J32,"Mês Referência",M$2),0)*-1</f>
        <v>0</v>
      </c>
      <c r="N32" s="141">
        <f>IFERROR(GETPIVOTDATA("Valor Real",DIN_mov!$A$3,"Tipo",$J$58,"Categoria",$J$27,"Subcategoria",$J32,"Mês Referência",N$2),0)*-1</f>
        <v>0</v>
      </c>
      <c r="O32" s="141">
        <f>IFERROR(GETPIVOTDATA("Valor Real",DIN_mov!$A$3,"Tipo",$J$58,"Categoria",$J$27,"Subcategoria",$J32,"Mês Referência",O$2),0)*-1</f>
        <v>0</v>
      </c>
      <c r="P32" s="141">
        <f>IFERROR(GETPIVOTDATA("Valor Real",DIN_mov!$A$3,"Tipo",$J$58,"Categoria",$J$27,"Subcategoria",$J32,"Mês Referência",P$2),0)*-1</f>
        <v>0</v>
      </c>
    </row>
    <row r="33" spans="2:16" ht="30" customHeight="1" x14ac:dyDescent="0.35">
      <c r="B33" s="115">
        <f t="shared" ca="1" si="8"/>
        <v>44365</v>
      </c>
      <c r="C33" s="116" t="str">
        <f t="shared" ca="1" si="6"/>
        <v>sexta-feira</v>
      </c>
      <c r="D33" s="117">
        <f ca="1">SUMIFS(Tabela_Movimentacao[Valor Fluxo],Tabela_Movimentacao[Vencimento Útil],Dashboard!B33,Tabela_Movimentacao[Tipo],"Receita")+SUMIFS(Tabela_Movimentacao[Valor Fluxo],Tabela_Movimentacao[Vencimento Útil],Dashboard!B33,Tabela_Movimentacao[Tipo],"Aporte")</f>
        <v>0</v>
      </c>
      <c r="E33" s="118">
        <f ca="1">SUMIFS(Tabela_Movimentacao[Valor Fluxo],Tabela_Movimentacao[Vencimento Útil],Dashboard!B33,Tabela_Movimentacao[Tipo],"Despesa")*-1</f>
        <v>0</v>
      </c>
      <c r="F33" s="119"/>
      <c r="G33" s="120">
        <f t="shared" ca="1" si="9"/>
        <v>0.01</v>
      </c>
      <c r="H33" s="118">
        <f t="shared" ca="1" si="7"/>
        <v>0</v>
      </c>
      <c r="J33" s="130" t="s">
        <v>14</v>
      </c>
      <c r="K33" s="131">
        <f>SUM(K34:K40)</f>
        <v>0</v>
      </c>
      <c r="L33" s="131">
        <f t="shared" ref="L33:P33" si="10">SUM(L34:L40)</f>
        <v>-380</v>
      </c>
      <c r="M33" s="131">
        <f t="shared" si="10"/>
        <v>-190</v>
      </c>
      <c r="N33" s="131">
        <f t="shared" si="10"/>
        <v>-190</v>
      </c>
      <c r="O33" s="131">
        <f t="shared" si="10"/>
        <v>0</v>
      </c>
      <c r="P33" s="131">
        <f t="shared" si="10"/>
        <v>0</v>
      </c>
    </row>
    <row r="34" spans="2:16" ht="30" customHeight="1" x14ac:dyDescent="0.35">
      <c r="B34" s="115">
        <f t="shared" ca="1" si="8"/>
        <v>44366</v>
      </c>
      <c r="C34" s="116" t="str">
        <f t="shared" ca="1" si="6"/>
        <v>sábado</v>
      </c>
      <c r="D34" s="117">
        <f ca="1">SUMIFS(Tabela_Movimentacao[Valor Fluxo],Tabela_Movimentacao[Vencimento Útil],Dashboard!B34,Tabela_Movimentacao[Tipo],"Receita")+SUMIFS(Tabela_Movimentacao[Valor Fluxo],Tabela_Movimentacao[Vencimento Útil],Dashboard!B34,Tabela_Movimentacao[Tipo],"Aporte")</f>
        <v>0</v>
      </c>
      <c r="E34" s="118">
        <f ca="1">SUMIFS(Tabela_Movimentacao[Valor Fluxo],Tabela_Movimentacao[Vencimento Útil],Dashboard!B34,Tabela_Movimentacao[Tipo],"Despesa")*-1</f>
        <v>0</v>
      </c>
      <c r="F34" s="119"/>
      <c r="G34" s="120">
        <f t="shared" ca="1" si="9"/>
        <v>0.01</v>
      </c>
      <c r="H34" s="118">
        <f t="shared" ca="1" si="7"/>
        <v>0</v>
      </c>
      <c r="J34" s="132" t="s">
        <v>17</v>
      </c>
      <c r="K34" s="141">
        <f>IFERROR(GETPIVOTDATA("Valor Real",DIN_mov!$A$3,"Tipo",$J$58,"Categoria",$J$33,"Subcategoria",$J34,"Mês Referência",K$2),0)*-1</f>
        <v>0</v>
      </c>
      <c r="L34" s="141">
        <f>IFERROR(GETPIVOTDATA("Valor Real",DIN_mov!$A$3,"Tipo",$J$58,"Categoria",$J$33,"Subcategoria",$J34,"Mês Referência",L$2),0)*-1</f>
        <v>0</v>
      </c>
      <c r="M34" s="141">
        <f>IFERROR(GETPIVOTDATA("Valor Real",DIN_mov!$A$3,"Tipo",$J$58,"Categoria",$J$33,"Subcategoria",$J34,"Mês Referência",M$2),0)*-1</f>
        <v>0</v>
      </c>
      <c r="N34" s="141">
        <f>IFERROR(GETPIVOTDATA("Valor Real",DIN_mov!$A$3,"Tipo",$J$58,"Categoria",$J$33,"Subcategoria",$J34,"Mês Referência",N$2),0)*-1</f>
        <v>0</v>
      </c>
      <c r="O34" s="141">
        <f>IFERROR(GETPIVOTDATA("Valor Real",DIN_mov!$A$3,"Tipo",$J$58,"Categoria",$J$33,"Subcategoria",$J34,"Mês Referência",O$2),0)*-1</f>
        <v>0</v>
      </c>
      <c r="P34" s="141">
        <f>IFERROR(GETPIVOTDATA("Valor Real",DIN_mov!$A$3,"Tipo",$J$58,"Categoria",$J$33,"Subcategoria",$J34,"Mês Referência",P$2),0)*-1</f>
        <v>0</v>
      </c>
    </row>
    <row r="35" spans="2:16" ht="30" customHeight="1" x14ac:dyDescent="0.35">
      <c r="B35" s="115">
        <f t="shared" ca="1" si="8"/>
        <v>44367</v>
      </c>
      <c r="C35" s="116" t="str">
        <f t="shared" ca="1" si="6"/>
        <v>domingo</v>
      </c>
      <c r="D35" s="117">
        <f ca="1">SUMIFS(Tabela_Movimentacao[Valor Fluxo],Tabela_Movimentacao[Vencimento Útil],Dashboard!B35,Tabela_Movimentacao[Tipo],"Receita")+SUMIFS(Tabela_Movimentacao[Valor Fluxo],Tabela_Movimentacao[Vencimento Útil],Dashboard!B35,Tabela_Movimentacao[Tipo],"Aporte")</f>
        <v>0</v>
      </c>
      <c r="E35" s="118">
        <f ca="1">SUMIFS(Tabela_Movimentacao[Valor Fluxo],Tabela_Movimentacao[Vencimento Útil],Dashboard!B35,Tabela_Movimentacao[Tipo],"Despesa")*-1</f>
        <v>0</v>
      </c>
      <c r="F35" s="119"/>
      <c r="G35" s="120">
        <f t="shared" ca="1" si="9"/>
        <v>0.01</v>
      </c>
      <c r="H35" s="118">
        <f t="shared" ca="1" si="7"/>
        <v>0</v>
      </c>
      <c r="J35" s="132" t="s">
        <v>21</v>
      </c>
      <c r="K35" s="141">
        <f>IFERROR(GETPIVOTDATA("Valor Real",DIN_mov!$A$3,"Tipo",$J$58,"Categoria",$J$33,"Subcategoria",$J35,"Mês Referência",K$2),0)*-1</f>
        <v>0</v>
      </c>
      <c r="L35" s="141">
        <f>IFERROR(GETPIVOTDATA("Valor Real",DIN_mov!$A$3,"Tipo",$J$58,"Categoria",$J$33,"Subcategoria",$J35,"Mês Referência",L$2),0)*-1</f>
        <v>0</v>
      </c>
      <c r="M35" s="141">
        <f>IFERROR(GETPIVOTDATA("Valor Real",DIN_mov!$A$3,"Tipo",$J$58,"Categoria",$J$33,"Subcategoria",$J35,"Mês Referência",M$2),0)*-1</f>
        <v>0</v>
      </c>
      <c r="N35" s="141">
        <f>IFERROR(GETPIVOTDATA("Valor Real",DIN_mov!$A$3,"Tipo",$J$58,"Categoria",$J$33,"Subcategoria",$J35,"Mês Referência",N$2),0)*-1</f>
        <v>0</v>
      </c>
      <c r="O35" s="141">
        <f>IFERROR(GETPIVOTDATA("Valor Real",DIN_mov!$A$3,"Tipo",$J$58,"Categoria",$J$33,"Subcategoria",$J35,"Mês Referência",O$2),0)*-1</f>
        <v>0</v>
      </c>
      <c r="P35" s="141">
        <f>IFERROR(GETPIVOTDATA("Valor Real",DIN_mov!$A$3,"Tipo",$J$58,"Categoria",$J$33,"Subcategoria",$J35,"Mês Referência",P$2),0)*-1</f>
        <v>0</v>
      </c>
    </row>
    <row r="36" spans="2:16" ht="30" customHeight="1" x14ac:dyDescent="0.35">
      <c r="B36" s="115">
        <f t="shared" ca="1" si="8"/>
        <v>44368</v>
      </c>
      <c r="C36" s="116" t="str">
        <f t="shared" ca="1" si="6"/>
        <v>segunda-feira</v>
      </c>
      <c r="D36" s="117">
        <f ca="1">SUMIFS(Tabela_Movimentacao[Valor Fluxo],Tabela_Movimentacao[Vencimento Útil],Dashboard!B36,Tabela_Movimentacao[Tipo],"Receita")+SUMIFS(Tabela_Movimentacao[Valor Fluxo],Tabela_Movimentacao[Vencimento Útil],Dashboard!B36,Tabela_Movimentacao[Tipo],"Aporte")</f>
        <v>0</v>
      </c>
      <c r="E36" s="118">
        <f ca="1">SUMIFS(Tabela_Movimentacao[Valor Fluxo],Tabela_Movimentacao[Vencimento Útil],Dashboard!B36,Tabela_Movimentacao[Tipo],"Despesa")*-1</f>
        <v>0</v>
      </c>
      <c r="F36" s="119"/>
      <c r="G36" s="120">
        <f t="shared" ca="1" si="9"/>
        <v>0.01</v>
      </c>
      <c r="H36" s="118">
        <f t="shared" ca="1" si="7"/>
        <v>0</v>
      </c>
      <c r="J36" s="132" t="s">
        <v>40</v>
      </c>
      <c r="K36" s="141">
        <f>IFERROR(GETPIVOTDATA("Valor Real",DIN_mov!$A$3,"Tipo",$J$58,"Categoria",$J$33,"Subcategoria",$J36,"Mês Referência",K$2),0)*-1</f>
        <v>0</v>
      </c>
      <c r="L36" s="141">
        <f>IFERROR(GETPIVOTDATA("Valor Real",DIN_mov!$A$3,"Tipo",$J$58,"Categoria",$J$33,"Subcategoria",$J36,"Mês Referência",L$2),0)*-1</f>
        <v>0</v>
      </c>
      <c r="M36" s="141">
        <f>IFERROR(GETPIVOTDATA("Valor Real",DIN_mov!$A$3,"Tipo",$J$58,"Categoria",$J$33,"Subcategoria",$J36,"Mês Referência",M$2),0)*-1</f>
        <v>0</v>
      </c>
      <c r="N36" s="141">
        <f>IFERROR(GETPIVOTDATA("Valor Real",DIN_mov!$A$3,"Tipo",$J$58,"Categoria",$J$33,"Subcategoria",$J36,"Mês Referência",N$2),0)*-1</f>
        <v>0</v>
      </c>
      <c r="O36" s="141">
        <f>IFERROR(GETPIVOTDATA("Valor Real",DIN_mov!$A$3,"Tipo",$J$58,"Categoria",$J$33,"Subcategoria",$J36,"Mês Referência",O$2),0)*-1</f>
        <v>0</v>
      </c>
      <c r="P36" s="141">
        <f>IFERROR(GETPIVOTDATA("Valor Real",DIN_mov!$A$3,"Tipo",$J$58,"Categoria",$J$33,"Subcategoria",$J36,"Mês Referência",P$2),0)*-1</f>
        <v>0</v>
      </c>
    </row>
    <row r="37" spans="2:16" ht="30" customHeight="1" x14ac:dyDescent="0.35">
      <c r="B37" s="115">
        <f t="shared" ca="1" si="8"/>
        <v>44369</v>
      </c>
      <c r="C37" s="116" t="str">
        <f t="shared" ca="1" si="6"/>
        <v>terça-feira</v>
      </c>
      <c r="D37" s="117">
        <f ca="1">SUMIFS(Tabela_Movimentacao[Valor Fluxo],Tabela_Movimentacao[Vencimento Útil],Dashboard!B37,Tabela_Movimentacao[Tipo],"Receita")+SUMIFS(Tabela_Movimentacao[Valor Fluxo],Tabela_Movimentacao[Vencimento Útil],Dashboard!B37,Tabela_Movimentacao[Tipo],"Aporte")</f>
        <v>0</v>
      </c>
      <c r="E37" s="118">
        <f ca="1">SUMIFS(Tabela_Movimentacao[Valor Fluxo],Tabela_Movimentacao[Vencimento Útil],Dashboard!B37,Tabela_Movimentacao[Tipo],"Despesa")*-1</f>
        <v>0</v>
      </c>
      <c r="F37" s="119"/>
      <c r="G37" s="120">
        <f t="shared" ca="1" si="9"/>
        <v>0.01</v>
      </c>
      <c r="H37" s="118">
        <f t="shared" ca="1" si="7"/>
        <v>0</v>
      </c>
      <c r="J37" s="132" t="s">
        <v>176</v>
      </c>
      <c r="K37" s="141">
        <f>IFERROR(GETPIVOTDATA("Valor Real",DIN_mov!$A$3,"Tipo",$J$58,"Categoria",$J$33,"Subcategoria",$J37,"Mês Referência",K$2),0)*-1</f>
        <v>0</v>
      </c>
      <c r="L37" s="141">
        <f>IFERROR(GETPIVOTDATA("Valor Real",DIN_mov!$A$3,"Tipo",$J$58,"Categoria",$J$33,"Subcategoria",$J37,"Mês Referência",L$2),0)*-1</f>
        <v>0</v>
      </c>
      <c r="M37" s="141">
        <f>IFERROR(GETPIVOTDATA("Valor Real",DIN_mov!$A$3,"Tipo",$J$58,"Categoria",$J$33,"Subcategoria",$J37,"Mês Referência",M$2),0)*-1</f>
        <v>0</v>
      </c>
      <c r="N37" s="141">
        <f>IFERROR(GETPIVOTDATA("Valor Real",DIN_mov!$A$3,"Tipo",$J$58,"Categoria",$J$33,"Subcategoria",$J37,"Mês Referência",N$2),0)*-1</f>
        <v>0</v>
      </c>
      <c r="O37" s="141">
        <f>IFERROR(GETPIVOTDATA("Valor Real",DIN_mov!$A$3,"Tipo",$J$58,"Categoria",$J$33,"Subcategoria",$J37,"Mês Referência",O$2),0)*-1</f>
        <v>0</v>
      </c>
      <c r="P37" s="141">
        <f>IFERROR(GETPIVOTDATA("Valor Real",DIN_mov!$A$3,"Tipo",$J$58,"Categoria",$J$33,"Subcategoria",$J37,"Mês Referência",P$2),0)*-1</f>
        <v>0</v>
      </c>
    </row>
    <row r="38" spans="2:16" ht="30" customHeight="1" x14ac:dyDescent="0.35">
      <c r="B38" s="115">
        <f t="shared" ca="1" si="8"/>
        <v>44370</v>
      </c>
      <c r="C38" s="116" t="str">
        <f t="shared" ca="1" si="6"/>
        <v>quarta-feira</v>
      </c>
      <c r="D38" s="117">
        <f ca="1">SUMIFS(Tabela_Movimentacao[Valor Fluxo],Tabela_Movimentacao[Vencimento Útil],Dashboard!B38,Tabela_Movimentacao[Tipo],"Receita")+SUMIFS(Tabela_Movimentacao[Valor Fluxo],Tabela_Movimentacao[Vencimento Útil],Dashboard!B38,Tabela_Movimentacao[Tipo],"Aporte")</f>
        <v>0</v>
      </c>
      <c r="E38" s="118">
        <f ca="1">SUMIFS(Tabela_Movimentacao[Valor Fluxo],Tabela_Movimentacao[Vencimento Útil],Dashboard!B38,Tabela_Movimentacao[Tipo],"Despesa")*-1</f>
        <v>0</v>
      </c>
      <c r="F38" s="119"/>
      <c r="G38" s="120">
        <f t="shared" ca="1" si="9"/>
        <v>0.01</v>
      </c>
      <c r="H38" s="118">
        <f t="shared" ca="1" si="7"/>
        <v>0</v>
      </c>
      <c r="J38" s="132" t="s">
        <v>218</v>
      </c>
      <c r="K38" s="141">
        <f>IFERROR(GETPIVOTDATA("Valor Real",DIN_mov!$A$3,"Tipo",$J$58,"Categoria",$J$33,"Subcategoria",$J38,"Mês Referência",K$2),0)*-1</f>
        <v>0</v>
      </c>
      <c r="L38" s="141">
        <f>IFERROR(GETPIVOTDATA("Valor Real",DIN_mov!$A$3,"Tipo",$J$58,"Categoria",$J$33,"Subcategoria",$J38,"Mês Referência",L$2),0)*-1</f>
        <v>0</v>
      </c>
      <c r="M38" s="141">
        <f>IFERROR(GETPIVOTDATA("Valor Real",DIN_mov!$A$3,"Tipo",$J$58,"Categoria",$J$33,"Subcategoria",$J38,"Mês Referência",M$2),0)*-1</f>
        <v>0</v>
      </c>
      <c r="N38" s="141">
        <f>IFERROR(GETPIVOTDATA("Valor Real",DIN_mov!$A$3,"Tipo",$J$58,"Categoria",$J$33,"Subcategoria",$J38,"Mês Referência",N$2),0)*-1</f>
        <v>0</v>
      </c>
      <c r="O38" s="141">
        <f>IFERROR(GETPIVOTDATA("Valor Real",DIN_mov!$A$3,"Tipo",$J$58,"Categoria",$J$33,"Subcategoria",$J38,"Mês Referência",O$2),0)*-1</f>
        <v>0</v>
      </c>
      <c r="P38" s="141">
        <f>IFERROR(GETPIVOTDATA("Valor Real",DIN_mov!$A$3,"Tipo",$J$58,"Categoria",$J$33,"Subcategoria",$J38,"Mês Referência",P$2),0)*-1</f>
        <v>0</v>
      </c>
    </row>
    <row r="39" spans="2:16" ht="30" customHeight="1" x14ac:dyDescent="0.35">
      <c r="B39" s="115">
        <f t="shared" ca="1" si="8"/>
        <v>44371</v>
      </c>
      <c r="C39" s="116" t="str">
        <f t="shared" ca="1" si="6"/>
        <v>quinta-feira</v>
      </c>
      <c r="D39" s="117">
        <f ca="1">SUMIFS(Tabela_Movimentacao[Valor Fluxo],Tabela_Movimentacao[Vencimento Útil],Dashboard!B39,Tabela_Movimentacao[Tipo],"Receita")+SUMIFS(Tabela_Movimentacao[Valor Fluxo],Tabela_Movimentacao[Vencimento Útil],Dashboard!B39,Tabela_Movimentacao[Tipo],"Aporte")</f>
        <v>0</v>
      </c>
      <c r="E39" s="118">
        <f ca="1">SUMIFS(Tabela_Movimentacao[Valor Fluxo],Tabela_Movimentacao[Vencimento Útil],Dashboard!B39,Tabela_Movimentacao[Tipo],"Despesa")*-1</f>
        <v>0</v>
      </c>
      <c r="F39" s="119"/>
      <c r="G39" s="120">
        <f t="shared" ca="1" si="9"/>
        <v>0.01</v>
      </c>
      <c r="H39" s="118">
        <f t="shared" ca="1" si="7"/>
        <v>0</v>
      </c>
      <c r="J39" s="132" t="s">
        <v>24</v>
      </c>
      <c r="K39" s="141">
        <f>IFERROR(GETPIVOTDATA("Valor Real",DIN_mov!$A$3,"Tipo",$J$58,"Categoria",$J$33,"Subcategoria",$J39,"Mês Referência",K$2),0)*-1</f>
        <v>0</v>
      </c>
      <c r="L39" s="141">
        <f>IFERROR(GETPIVOTDATA("Valor Real",DIN_mov!$A$3,"Tipo",$J$58,"Categoria",$J$33,"Subcategoria",$J39,"Mês Referência",L$2),0)*-1</f>
        <v>0</v>
      </c>
      <c r="M39" s="141">
        <f>IFERROR(GETPIVOTDATA("Valor Real",DIN_mov!$A$3,"Tipo",$J$58,"Categoria",$J$33,"Subcategoria",$J39,"Mês Referência",M$2),0)*-1</f>
        <v>0</v>
      </c>
      <c r="N39" s="141">
        <f>IFERROR(GETPIVOTDATA("Valor Real",DIN_mov!$A$3,"Tipo",$J$58,"Categoria",$J$33,"Subcategoria",$J39,"Mês Referência",N$2),0)*-1</f>
        <v>0</v>
      </c>
      <c r="O39" s="141">
        <f>IFERROR(GETPIVOTDATA("Valor Real",DIN_mov!$A$3,"Tipo",$J$58,"Categoria",$J$33,"Subcategoria",$J39,"Mês Referência",O$2),0)*-1</f>
        <v>0</v>
      </c>
      <c r="P39" s="141">
        <f>IFERROR(GETPIVOTDATA("Valor Real",DIN_mov!$A$3,"Tipo",$J$58,"Categoria",$J$33,"Subcategoria",$J39,"Mês Referência",P$2),0)*-1</f>
        <v>0</v>
      </c>
    </row>
    <row r="40" spans="2:16" ht="30" customHeight="1" x14ac:dyDescent="0.35">
      <c r="B40" s="115">
        <f t="shared" ca="1" si="8"/>
        <v>44372</v>
      </c>
      <c r="C40" s="116" t="str">
        <f t="shared" ca="1" si="6"/>
        <v>sexta-feira</v>
      </c>
      <c r="D40" s="117">
        <f ca="1">SUMIFS(Tabela_Movimentacao[Valor Fluxo],Tabela_Movimentacao[Vencimento Útil],Dashboard!B40,Tabela_Movimentacao[Tipo],"Receita")+SUMIFS(Tabela_Movimentacao[Valor Fluxo],Tabela_Movimentacao[Vencimento Útil],Dashboard!B40,Tabela_Movimentacao[Tipo],"Aporte")</f>
        <v>0</v>
      </c>
      <c r="E40" s="118">
        <f ca="1">SUMIFS(Tabela_Movimentacao[Valor Fluxo],Tabela_Movimentacao[Vencimento Útil],Dashboard!B40,Tabela_Movimentacao[Tipo],"Despesa")*-1</f>
        <v>0</v>
      </c>
      <c r="F40" s="119"/>
      <c r="G40" s="120">
        <f t="shared" ca="1" si="9"/>
        <v>0.01</v>
      </c>
      <c r="H40" s="118">
        <f t="shared" ca="1" si="7"/>
        <v>0</v>
      </c>
      <c r="J40" s="132" t="s">
        <v>27</v>
      </c>
      <c r="K40" s="141">
        <f>IFERROR(GETPIVOTDATA("Valor Real",DIN_mov!$A$3,"Tipo",$J$58,"Categoria",$J$33,"Subcategoria",$J40,"Mês Referência",K$2),0)*-1</f>
        <v>0</v>
      </c>
      <c r="L40" s="141">
        <f>IFERROR(GETPIVOTDATA("Valor Real",DIN_mov!$A$3,"Tipo",$J$58,"Categoria",$J$33,"Subcategoria",$J40,"Mês Referência",L$2),0)*-1</f>
        <v>-380</v>
      </c>
      <c r="M40" s="141">
        <f>IFERROR(GETPIVOTDATA("Valor Real",DIN_mov!$A$3,"Tipo",$J$58,"Categoria",$J$33,"Subcategoria",$J40,"Mês Referência",M$2),0)*-1</f>
        <v>-190</v>
      </c>
      <c r="N40" s="141">
        <f>IFERROR(GETPIVOTDATA("Valor Real",DIN_mov!$A$3,"Tipo",$J$58,"Categoria",$J$33,"Subcategoria",$J40,"Mês Referência",N$2),0)*-1</f>
        <v>-190</v>
      </c>
      <c r="O40" s="141">
        <f>IFERROR(GETPIVOTDATA("Valor Real",DIN_mov!$A$3,"Tipo",$J$58,"Categoria",$J$33,"Subcategoria",$J40,"Mês Referência",O$2),0)*-1</f>
        <v>0</v>
      </c>
      <c r="P40" s="141">
        <f>IFERROR(GETPIVOTDATA("Valor Real",DIN_mov!$A$3,"Tipo",$J$58,"Categoria",$J$33,"Subcategoria",$J40,"Mês Referência",P$2),0)*-1</f>
        <v>0</v>
      </c>
    </row>
    <row r="41" spans="2:16" ht="30" customHeight="1" x14ac:dyDescent="0.35">
      <c r="B41" s="115">
        <f t="shared" ca="1" si="8"/>
        <v>44373</v>
      </c>
      <c r="C41" s="116" t="str">
        <f t="shared" ca="1" si="6"/>
        <v>sábado</v>
      </c>
      <c r="D41" s="117">
        <f ca="1">SUMIFS(Tabela_Movimentacao[Valor Fluxo],Tabela_Movimentacao[Vencimento Útil],Dashboard!B41,Tabela_Movimentacao[Tipo],"Receita")+SUMIFS(Tabela_Movimentacao[Valor Fluxo],Tabela_Movimentacao[Vencimento Útil],Dashboard!B41,Tabela_Movimentacao[Tipo],"Aporte")</f>
        <v>0</v>
      </c>
      <c r="E41" s="118">
        <f ca="1">SUMIFS(Tabela_Movimentacao[Valor Fluxo],Tabela_Movimentacao[Vencimento Útil],Dashboard!B41,Tabela_Movimentacao[Tipo],"Despesa")*-1</f>
        <v>0</v>
      </c>
      <c r="F41" s="119"/>
      <c r="G41" s="120">
        <f t="shared" ca="1" si="9"/>
        <v>0.01</v>
      </c>
      <c r="H41" s="118">
        <f t="shared" ca="1" si="7"/>
        <v>0</v>
      </c>
      <c r="J41" s="130" t="s">
        <v>11</v>
      </c>
      <c r="K41" s="131">
        <f>SUM(K42:K51)</f>
        <v>0</v>
      </c>
      <c r="L41" s="131">
        <f t="shared" ref="L41:P41" si="11">SUM(L42:L51)</f>
        <v>0</v>
      </c>
      <c r="M41" s="131">
        <f t="shared" si="11"/>
        <v>0</v>
      </c>
      <c r="N41" s="131">
        <f t="shared" si="11"/>
        <v>0</v>
      </c>
      <c r="O41" s="131">
        <f t="shared" si="11"/>
        <v>0</v>
      </c>
      <c r="P41" s="131">
        <f t="shared" si="11"/>
        <v>0</v>
      </c>
    </row>
    <row r="42" spans="2:16" ht="30" customHeight="1" x14ac:dyDescent="0.35">
      <c r="B42" s="115">
        <f t="shared" ca="1" si="8"/>
        <v>44374</v>
      </c>
      <c r="C42" s="116" t="str">
        <f t="shared" ca="1" si="6"/>
        <v>domingo</v>
      </c>
      <c r="D42" s="117">
        <f ca="1">SUMIFS(Tabela_Movimentacao[Valor Fluxo],Tabela_Movimentacao[Vencimento Útil],Dashboard!B42,Tabela_Movimentacao[Tipo],"Receita")+SUMIFS(Tabela_Movimentacao[Valor Fluxo],Tabela_Movimentacao[Vencimento Útil],Dashboard!B42,Tabela_Movimentacao[Tipo],"Aporte")</f>
        <v>0</v>
      </c>
      <c r="E42" s="118">
        <f ca="1">SUMIFS(Tabela_Movimentacao[Valor Fluxo],Tabela_Movimentacao[Vencimento Útil],Dashboard!B42,Tabela_Movimentacao[Tipo],"Despesa")*-1</f>
        <v>0</v>
      </c>
      <c r="F42" s="119"/>
      <c r="G42" s="120">
        <f t="shared" ca="1" si="9"/>
        <v>0.01</v>
      </c>
      <c r="H42" s="118">
        <f t="shared" ca="1" si="7"/>
        <v>0</v>
      </c>
      <c r="J42" s="132" t="s">
        <v>28</v>
      </c>
      <c r="K42" s="141">
        <f>IFERROR(GETPIVOTDATA("Valor Real",DIN_mov!$A$3,"Tipo",$J$58,"Categoria",$J$41,"Subcategoria",$J42,"Mês Referência",K$2),0)*-1</f>
        <v>0</v>
      </c>
      <c r="L42" s="141">
        <f>IFERROR(GETPIVOTDATA("Valor Real",DIN_mov!$A$3,"Tipo",$J$58,"Categoria",$J$41,"Subcategoria",$J42,"Mês Referência",L$2),0)*-1</f>
        <v>0</v>
      </c>
      <c r="M42" s="141">
        <f>IFERROR(GETPIVOTDATA("Valor Real",DIN_mov!$A$3,"Tipo",$J$58,"Categoria",$J$41,"Subcategoria",$J42,"Mês Referência",M$2),0)*-1</f>
        <v>0</v>
      </c>
      <c r="N42" s="141">
        <f>IFERROR(GETPIVOTDATA("Valor Real",DIN_mov!$A$3,"Tipo",$J$58,"Categoria",$J$41,"Subcategoria",$J42,"Mês Referência",N$2),0)*-1</f>
        <v>0</v>
      </c>
      <c r="O42" s="141">
        <f>IFERROR(GETPIVOTDATA("Valor Real",DIN_mov!$A$3,"Tipo",$J$58,"Categoria",$J$41,"Subcategoria",$J42,"Mês Referência",O$2),0)*-1</f>
        <v>0</v>
      </c>
      <c r="P42" s="141">
        <f>IFERROR(GETPIVOTDATA("Valor Real",DIN_mov!$A$3,"Tipo",$J$58,"Categoria",$J$41,"Subcategoria",$J42,"Mês Referência",P$2),0)*-1</f>
        <v>0</v>
      </c>
    </row>
    <row r="43" spans="2:16" ht="30" customHeight="1" x14ac:dyDescent="0.35">
      <c r="B43" s="115">
        <f t="shared" ca="1" si="8"/>
        <v>44375</v>
      </c>
      <c r="C43" s="116" t="str">
        <f t="shared" ca="1" si="6"/>
        <v>segunda-feira</v>
      </c>
      <c r="D43" s="117">
        <f ca="1">SUMIFS(Tabela_Movimentacao[Valor Fluxo],Tabela_Movimentacao[Vencimento Útil],Dashboard!B43,Tabela_Movimentacao[Tipo],"Receita")+SUMIFS(Tabela_Movimentacao[Valor Fluxo],Tabela_Movimentacao[Vencimento Útil],Dashboard!B43,Tabela_Movimentacao[Tipo],"Aporte")</f>
        <v>0</v>
      </c>
      <c r="E43" s="118">
        <f ca="1">SUMIFS(Tabela_Movimentacao[Valor Fluxo],Tabela_Movimentacao[Vencimento Útil],Dashboard!B43,Tabela_Movimentacao[Tipo],"Despesa")*-1</f>
        <v>0</v>
      </c>
      <c r="F43" s="119"/>
      <c r="G43" s="120">
        <f t="shared" ca="1" si="9"/>
        <v>0.01</v>
      </c>
      <c r="H43" s="118">
        <f t="shared" ca="1" si="7"/>
        <v>0</v>
      </c>
      <c r="J43" s="132" t="s">
        <v>39</v>
      </c>
      <c r="K43" s="141">
        <f>IFERROR(GETPIVOTDATA("Valor Real",DIN_mov!$A$3,"Tipo",$J$58,"Categoria",$J$41,"Subcategoria",$J43,"Mês Referência",K$2),0)*-1</f>
        <v>0</v>
      </c>
      <c r="L43" s="141">
        <f>IFERROR(GETPIVOTDATA("Valor Real",DIN_mov!$A$3,"Tipo",$J$58,"Categoria",$J$41,"Subcategoria",$J43,"Mês Referência",L$2),0)*-1</f>
        <v>0</v>
      </c>
      <c r="M43" s="141">
        <f>IFERROR(GETPIVOTDATA("Valor Real",DIN_mov!$A$3,"Tipo",$J$58,"Categoria",$J$41,"Subcategoria",$J43,"Mês Referência",M$2),0)*-1</f>
        <v>0</v>
      </c>
      <c r="N43" s="141">
        <f>IFERROR(GETPIVOTDATA("Valor Real",DIN_mov!$A$3,"Tipo",$J$58,"Categoria",$J$41,"Subcategoria",$J43,"Mês Referência",N$2),0)*-1</f>
        <v>0</v>
      </c>
      <c r="O43" s="141">
        <f>IFERROR(GETPIVOTDATA("Valor Real",DIN_mov!$A$3,"Tipo",$J$58,"Categoria",$J$41,"Subcategoria",$J43,"Mês Referência",O$2),0)*-1</f>
        <v>0</v>
      </c>
      <c r="P43" s="141">
        <f>IFERROR(GETPIVOTDATA("Valor Real",DIN_mov!$A$3,"Tipo",$J$58,"Categoria",$J$41,"Subcategoria",$J43,"Mês Referência",P$2),0)*-1</f>
        <v>0</v>
      </c>
    </row>
    <row r="44" spans="2:16" ht="30" customHeight="1" x14ac:dyDescent="0.35">
      <c r="B44" s="115">
        <f t="shared" ca="1" si="8"/>
        <v>44376</v>
      </c>
      <c r="C44" s="116" t="str">
        <f t="shared" ca="1" si="6"/>
        <v>terça-feira</v>
      </c>
      <c r="D44" s="117">
        <f ca="1">SUMIFS(Tabela_Movimentacao[Valor Fluxo],Tabela_Movimentacao[Vencimento Útil],Dashboard!B44,Tabela_Movimentacao[Tipo],"Receita")+SUMIFS(Tabela_Movimentacao[Valor Fluxo],Tabela_Movimentacao[Vencimento Útil],Dashboard!B44,Tabela_Movimentacao[Tipo],"Aporte")</f>
        <v>0</v>
      </c>
      <c r="E44" s="118">
        <f ca="1">SUMIFS(Tabela_Movimentacao[Valor Fluxo],Tabela_Movimentacao[Vencimento Útil],Dashboard!B44,Tabela_Movimentacao[Tipo],"Despesa")*-1</f>
        <v>0</v>
      </c>
      <c r="F44" s="119"/>
      <c r="G44" s="120">
        <f t="shared" ca="1" si="9"/>
        <v>0.01</v>
      </c>
      <c r="H44" s="118">
        <f t="shared" ca="1" si="7"/>
        <v>0</v>
      </c>
      <c r="J44" s="132" t="s">
        <v>18</v>
      </c>
      <c r="K44" s="141">
        <f>IFERROR(GETPIVOTDATA("Valor Real",DIN_mov!$A$3,"Tipo",$J$58,"Categoria",$J$41,"Subcategoria",$J44,"Mês Referência",K$2),0)*-1</f>
        <v>0</v>
      </c>
      <c r="L44" s="141">
        <f>IFERROR(GETPIVOTDATA("Valor Real",DIN_mov!$A$3,"Tipo",$J$58,"Categoria",$J$41,"Subcategoria",$J44,"Mês Referência",L$2),0)*-1</f>
        <v>0</v>
      </c>
      <c r="M44" s="141">
        <f>IFERROR(GETPIVOTDATA("Valor Real",DIN_mov!$A$3,"Tipo",$J$58,"Categoria",$J$41,"Subcategoria",$J44,"Mês Referência",M$2),0)*-1</f>
        <v>0</v>
      </c>
      <c r="N44" s="141">
        <f>IFERROR(GETPIVOTDATA("Valor Real",DIN_mov!$A$3,"Tipo",$J$58,"Categoria",$J$41,"Subcategoria",$J44,"Mês Referência",N$2),0)*-1</f>
        <v>0</v>
      </c>
      <c r="O44" s="141">
        <f>IFERROR(GETPIVOTDATA("Valor Real",DIN_mov!$A$3,"Tipo",$J$58,"Categoria",$J$41,"Subcategoria",$J44,"Mês Referência",O$2),0)*-1</f>
        <v>0</v>
      </c>
      <c r="P44" s="141">
        <f>IFERROR(GETPIVOTDATA("Valor Real",DIN_mov!$A$3,"Tipo",$J$58,"Categoria",$J$41,"Subcategoria",$J44,"Mês Referência",P$2),0)*-1</f>
        <v>0</v>
      </c>
    </row>
    <row r="45" spans="2:16" ht="30" customHeight="1" x14ac:dyDescent="0.35">
      <c r="B45" s="115">
        <f t="shared" ca="1" si="8"/>
        <v>44377</v>
      </c>
      <c r="C45" s="116" t="str">
        <f t="shared" ca="1" si="6"/>
        <v>quarta-feira</v>
      </c>
      <c r="D45" s="117">
        <f ca="1">SUMIFS(Tabela_Movimentacao[Valor Fluxo],Tabela_Movimentacao[Vencimento Útil],Dashboard!B45,Tabela_Movimentacao[Tipo],"Receita")+SUMIFS(Tabela_Movimentacao[Valor Fluxo],Tabela_Movimentacao[Vencimento Útil],Dashboard!B45,Tabela_Movimentacao[Tipo],"Aporte")</f>
        <v>0</v>
      </c>
      <c r="E45" s="118">
        <f ca="1">SUMIFS(Tabela_Movimentacao[Valor Fluxo],Tabela_Movimentacao[Vencimento Útil],Dashboard!B45,Tabela_Movimentacao[Tipo],"Despesa")*-1</f>
        <v>0</v>
      </c>
      <c r="F45" s="119"/>
      <c r="G45" s="120">
        <f t="shared" ca="1" si="9"/>
        <v>0.01</v>
      </c>
      <c r="H45" s="118">
        <f t="shared" ca="1" si="7"/>
        <v>0</v>
      </c>
      <c r="J45" s="132" t="s">
        <v>37</v>
      </c>
      <c r="K45" s="141">
        <f>IFERROR(GETPIVOTDATA("Valor Real",DIN_mov!$A$3,"Tipo",$J$58,"Categoria",$J$41,"Subcategoria",$J45,"Mês Referência",K$2),0)*-1</f>
        <v>0</v>
      </c>
      <c r="L45" s="141">
        <f>IFERROR(GETPIVOTDATA("Valor Real",DIN_mov!$A$3,"Tipo",$J$58,"Categoria",$J$41,"Subcategoria",$J45,"Mês Referência",L$2),0)*-1</f>
        <v>0</v>
      </c>
      <c r="M45" s="141">
        <f>IFERROR(GETPIVOTDATA("Valor Real",DIN_mov!$A$3,"Tipo",$J$58,"Categoria",$J$41,"Subcategoria",$J45,"Mês Referência",M$2),0)*-1</f>
        <v>0</v>
      </c>
      <c r="N45" s="141">
        <f>IFERROR(GETPIVOTDATA("Valor Real",DIN_mov!$A$3,"Tipo",$J$58,"Categoria",$J$41,"Subcategoria",$J45,"Mês Referência",N$2),0)*-1</f>
        <v>0</v>
      </c>
      <c r="O45" s="141">
        <f>IFERROR(GETPIVOTDATA("Valor Real",DIN_mov!$A$3,"Tipo",$J$58,"Categoria",$J$41,"Subcategoria",$J45,"Mês Referência",O$2),0)*-1</f>
        <v>0</v>
      </c>
      <c r="P45" s="141">
        <f>IFERROR(GETPIVOTDATA("Valor Real",DIN_mov!$A$3,"Tipo",$J$58,"Categoria",$J$41,"Subcategoria",$J45,"Mês Referência",P$2),0)*-1</f>
        <v>0</v>
      </c>
    </row>
    <row r="46" spans="2:16" ht="30" customHeight="1" x14ac:dyDescent="0.35">
      <c r="B46" s="115">
        <f t="shared" ca="1" si="8"/>
        <v>44378</v>
      </c>
      <c r="C46" s="116" t="str">
        <f t="shared" ca="1" si="6"/>
        <v>quinta-feira</v>
      </c>
      <c r="D46" s="117">
        <f ca="1">SUMIFS(Tabela_Movimentacao[Valor Fluxo],Tabela_Movimentacao[Vencimento Útil],Dashboard!B46,Tabela_Movimentacao[Tipo],"Receita")+SUMIFS(Tabela_Movimentacao[Valor Fluxo],Tabela_Movimentacao[Vencimento Útil],Dashboard!B46,Tabela_Movimentacao[Tipo],"Aporte")</f>
        <v>0</v>
      </c>
      <c r="E46" s="118">
        <f ca="1">SUMIFS(Tabela_Movimentacao[Valor Fluxo],Tabela_Movimentacao[Vencimento Útil],Dashboard!B46,Tabela_Movimentacao[Tipo],"Despesa")*-1</f>
        <v>0</v>
      </c>
      <c r="F46" s="119"/>
      <c r="G46" s="120">
        <f t="shared" ca="1" si="9"/>
        <v>0.01</v>
      </c>
      <c r="H46" s="118">
        <f t="shared" ca="1" si="7"/>
        <v>0</v>
      </c>
      <c r="J46" s="132" t="s">
        <v>38</v>
      </c>
      <c r="K46" s="141">
        <f>IFERROR(GETPIVOTDATA("Valor Real",DIN_mov!$A$3,"Tipo",$J$58,"Categoria",$J$41,"Subcategoria",$J46,"Mês Referência",K$2),0)*-1</f>
        <v>0</v>
      </c>
      <c r="L46" s="141">
        <f>IFERROR(GETPIVOTDATA("Valor Real",DIN_mov!$A$3,"Tipo",$J$58,"Categoria",$J$41,"Subcategoria",$J46,"Mês Referência",L$2),0)*-1</f>
        <v>0</v>
      </c>
      <c r="M46" s="141">
        <f>IFERROR(GETPIVOTDATA("Valor Real",DIN_mov!$A$3,"Tipo",$J$58,"Categoria",$J$41,"Subcategoria",$J46,"Mês Referência",M$2),0)*-1</f>
        <v>0</v>
      </c>
      <c r="N46" s="141">
        <f>IFERROR(GETPIVOTDATA("Valor Real",DIN_mov!$A$3,"Tipo",$J$58,"Categoria",$J$41,"Subcategoria",$J46,"Mês Referência",N$2),0)*-1</f>
        <v>0</v>
      </c>
      <c r="O46" s="141">
        <f>IFERROR(GETPIVOTDATA("Valor Real",DIN_mov!$A$3,"Tipo",$J$58,"Categoria",$J$41,"Subcategoria",$J46,"Mês Referência",O$2),0)*-1</f>
        <v>0</v>
      </c>
      <c r="P46" s="141">
        <f>IFERROR(GETPIVOTDATA("Valor Real",DIN_mov!$A$3,"Tipo",$J$58,"Categoria",$J$41,"Subcategoria",$J46,"Mês Referência",P$2),0)*-1</f>
        <v>0</v>
      </c>
    </row>
    <row r="47" spans="2:16" ht="30" customHeight="1" x14ac:dyDescent="0.35">
      <c r="B47" s="115">
        <f t="shared" ca="1" si="8"/>
        <v>44379</v>
      </c>
      <c r="C47" s="116" t="str">
        <f t="shared" ca="1" si="6"/>
        <v>sexta-feira</v>
      </c>
      <c r="D47" s="117">
        <f ca="1">SUMIFS(Tabela_Movimentacao[Valor Fluxo],Tabela_Movimentacao[Vencimento Útil],Dashboard!B47,Tabela_Movimentacao[Tipo],"Receita")+SUMIFS(Tabela_Movimentacao[Valor Fluxo],Tabela_Movimentacao[Vencimento Útil],Dashboard!B47,Tabela_Movimentacao[Tipo],"Aporte")</f>
        <v>0</v>
      </c>
      <c r="E47" s="118">
        <f ca="1">SUMIFS(Tabela_Movimentacao[Valor Fluxo],Tabela_Movimentacao[Vencimento Útil],Dashboard!B47,Tabela_Movimentacao[Tipo],"Despesa")*-1</f>
        <v>0</v>
      </c>
      <c r="F47" s="119"/>
      <c r="G47" s="120">
        <f t="shared" ca="1" si="9"/>
        <v>0.01</v>
      </c>
      <c r="H47" s="118">
        <f t="shared" ca="1" si="7"/>
        <v>0</v>
      </c>
      <c r="J47" s="132" t="s">
        <v>36</v>
      </c>
      <c r="K47" s="141">
        <f>IFERROR(GETPIVOTDATA("Valor Real",DIN_mov!$A$3,"Tipo",$J$58,"Categoria",$J$41,"Subcategoria",$J47,"Mês Referência",K$2),0)*-1</f>
        <v>0</v>
      </c>
      <c r="L47" s="141">
        <f>IFERROR(GETPIVOTDATA("Valor Real",DIN_mov!$A$3,"Tipo",$J$58,"Categoria",$J$41,"Subcategoria",$J47,"Mês Referência",L$2),0)*-1</f>
        <v>0</v>
      </c>
      <c r="M47" s="141">
        <f>IFERROR(GETPIVOTDATA("Valor Real",DIN_mov!$A$3,"Tipo",$J$58,"Categoria",$J$41,"Subcategoria",$J47,"Mês Referência",M$2),0)*-1</f>
        <v>0</v>
      </c>
      <c r="N47" s="141">
        <f>IFERROR(GETPIVOTDATA("Valor Real",DIN_mov!$A$3,"Tipo",$J$58,"Categoria",$J$41,"Subcategoria",$J47,"Mês Referência",N$2),0)*-1</f>
        <v>0</v>
      </c>
      <c r="O47" s="141">
        <f>IFERROR(GETPIVOTDATA("Valor Real",DIN_mov!$A$3,"Tipo",$J$58,"Categoria",$J$41,"Subcategoria",$J47,"Mês Referência",O$2),0)*-1</f>
        <v>0</v>
      </c>
      <c r="P47" s="141">
        <f>IFERROR(GETPIVOTDATA("Valor Real",DIN_mov!$A$3,"Tipo",$J$58,"Categoria",$J$41,"Subcategoria",$J47,"Mês Referência",P$2),0)*-1</f>
        <v>0</v>
      </c>
    </row>
    <row r="48" spans="2:16" ht="30" customHeight="1" x14ac:dyDescent="0.35">
      <c r="B48" s="115">
        <f t="shared" ca="1" si="8"/>
        <v>44380</v>
      </c>
      <c r="C48" s="116" t="str">
        <f t="shared" ca="1" si="6"/>
        <v>sábado</v>
      </c>
      <c r="D48" s="117">
        <f ca="1">SUMIFS(Tabela_Movimentacao[Valor Fluxo],Tabela_Movimentacao[Vencimento Útil],Dashboard!B48,Tabela_Movimentacao[Tipo],"Receita")+SUMIFS(Tabela_Movimentacao[Valor Fluxo],Tabela_Movimentacao[Vencimento Útil],Dashboard!B48,Tabela_Movimentacao[Tipo],"Aporte")</f>
        <v>0</v>
      </c>
      <c r="E48" s="118">
        <f ca="1">SUMIFS(Tabela_Movimentacao[Valor Fluxo],Tabela_Movimentacao[Vencimento Útil],Dashboard!B48,Tabela_Movimentacao[Tipo],"Despesa")*-1</f>
        <v>0</v>
      </c>
      <c r="F48" s="119"/>
      <c r="G48" s="120">
        <f t="shared" ca="1" si="9"/>
        <v>0.01</v>
      </c>
      <c r="H48" s="118">
        <f t="shared" ca="1" si="7"/>
        <v>0</v>
      </c>
      <c r="J48" s="132" t="s">
        <v>72</v>
      </c>
      <c r="K48" s="141">
        <f>IFERROR(GETPIVOTDATA("Valor Real",DIN_mov!$A$3,"Tipo",$J$58,"Categoria",$J$41,"Subcategoria",$J48,"Mês Referência",K$2),0)*-1</f>
        <v>0</v>
      </c>
      <c r="L48" s="141">
        <f>IFERROR(GETPIVOTDATA("Valor Real",DIN_mov!$A$3,"Tipo",$J$58,"Categoria",$J$41,"Subcategoria",$J48,"Mês Referência",L$2),0)*-1</f>
        <v>0</v>
      </c>
      <c r="M48" s="141">
        <f>IFERROR(GETPIVOTDATA("Valor Real",DIN_mov!$A$3,"Tipo",$J$58,"Categoria",$J$41,"Subcategoria",$J48,"Mês Referência",M$2),0)*-1</f>
        <v>0</v>
      </c>
      <c r="N48" s="141">
        <f>IFERROR(GETPIVOTDATA("Valor Real",DIN_mov!$A$3,"Tipo",$J$58,"Categoria",$J$41,"Subcategoria",$J48,"Mês Referência",N$2),0)*-1</f>
        <v>0</v>
      </c>
      <c r="O48" s="141">
        <f>IFERROR(GETPIVOTDATA("Valor Real",DIN_mov!$A$3,"Tipo",$J$58,"Categoria",$J$41,"Subcategoria",$J48,"Mês Referência",O$2),0)*-1</f>
        <v>0</v>
      </c>
      <c r="P48" s="141">
        <f>IFERROR(GETPIVOTDATA("Valor Real",DIN_mov!$A$3,"Tipo",$J$58,"Categoria",$J$41,"Subcategoria",$J48,"Mês Referência",P$2),0)*-1</f>
        <v>0</v>
      </c>
    </row>
    <row r="49" spans="2:16" ht="30" customHeight="1" x14ac:dyDescent="0.35">
      <c r="B49" s="115">
        <f t="shared" ca="1" si="8"/>
        <v>44381</v>
      </c>
      <c r="C49" s="116" t="str">
        <f t="shared" ca="1" si="6"/>
        <v>domingo</v>
      </c>
      <c r="D49" s="117">
        <f ca="1">SUMIFS(Tabela_Movimentacao[Valor Fluxo],Tabela_Movimentacao[Vencimento Útil],Dashboard!B49,Tabela_Movimentacao[Tipo],"Receita")+SUMIFS(Tabela_Movimentacao[Valor Fluxo],Tabela_Movimentacao[Vencimento Útil],Dashboard!B49,Tabela_Movimentacao[Tipo],"Aporte")</f>
        <v>0</v>
      </c>
      <c r="E49" s="118">
        <f ca="1">SUMIFS(Tabela_Movimentacao[Valor Fluxo],Tabela_Movimentacao[Vencimento Útil],Dashboard!B49,Tabela_Movimentacao[Tipo],"Despesa")*-1</f>
        <v>0</v>
      </c>
      <c r="F49" s="119"/>
      <c r="G49" s="120">
        <f t="shared" ca="1" si="9"/>
        <v>0.01</v>
      </c>
      <c r="H49" s="118">
        <f t="shared" ca="1" si="7"/>
        <v>0</v>
      </c>
      <c r="J49" s="132" t="s">
        <v>32</v>
      </c>
      <c r="K49" s="141">
        <f>IFERROR(GETPIVOTDATA("Valor Real",DIN_mov!$A$3,"Tipo",$J$58,"Categoria",$J$41,"Subcategoria",$J49,"Mês Referência",K$2),0)*-1</f>
        <v>0</v>
      </c>
      <c r="L49" s="141">
        <f>IFERROR(GETPIVOTDATA("Valor Real",DIN_mov!$A$3,"Tipo",$J$58,"Categoria",$J$41,"Subcategoria",$J49,"Mês Referência",L$2),0)*-1</f>
        <v>0</v>
      </c>
      <c r="M49" s="141">
        <f>IFERROR(GETPIVOTDATA("Valor Real",DIN_mov!$A$3,"Tipo",$J$58,"Categoria",$J$41,"Subcategoria",$J49,"Mês Referência",M$2),0)*-1</f>
        <v>0</v>
      </c>
      <c r="N49" s="141">
        <f>IFERROR(GETPIVOTDATA("Valor Real",DIN_mov!$A$3,"Tipo",$J$58,"Categoria",$J$41,"Subcategoria",$J49,"Mês Referência",N$2),0)*-1</f>
        <v>0</v>
      </c>
      <c r="O49" s="141">
        <f>IFERROR(GETPIVOTDATA("Valor Real",DIN_mov!$A$3,"Tipo",$J$58,"Categoria",$J$41,"Subcategoria",$J49,"Mês Referência",O$2),0)*-1</f>
        <v>0</v>
      </c>
      <c r="P49" s="141">
        <f>IFERROR(GETPIVOTDATA("Valor Real",DIN_mov!$A$3,"Tipo",$J$58,"Categoria",$J$41,"Subcategoria",$J49,"Mês Referência",P$2),0)*-1</f>
        <v>0</v>
      </c>
    </row>
    <row r="50" spans="2:16" ht="30" customHeight="1" x14ac:dyDescent="0.35">
      <c r="B50" s="115">
        <f t="shared" ca="1" si="8"/>
        <v>44382</v>
      </c>
      <c r="C50" s="116" t="str">
        <f t="shared" ca="1" si="6"/>
        <v>segunda-feira</v>
      </c>
      <c r="D50" s="117">
        <f ca="1">SUMIFS(Tabela_Movimentacao[Valor Fluxo],Tabela_Movimentacao[Vencimento Útil],Dashboard!B50,Tabela_Movimentacao[Tipo],"Receita")+SUMIFS(Tabela_Movimentacao[Valor Fluxo],Tabela_Movimentacao[Vencimento Útil],Dashboard!B50,Tabela_Movimentacao[Tipo],"Aporte")</f>
        <v>0</v>
      </c>
      <c r="E50" s="118">
        <f ca="1">SUMIFS(Tabela_Movimentacao[Valor Fluxo],Tabela_Movimentacao[Vencimento Útil],Dashboard!B50,Tabela_Movimentacao[Tipo],"Despesa")*-1</f>
        <v>-190</v>
      </c>
      <c r="F50" s="119"/>
      <c r="G50" s="120">
        <f t="shared" ca="1" si="9"/>
        <v>-189.99</v>
      </c>
      <c r="H50" s="118">
        <f t="shared" ca="1" si="7"/>
        <v>-190</v>
      </c>
      <c r="J50" s="132" t="s">
        <v>25</v>
      </c>
      <c r="K50" s="141">
        <f>IFERROR(GETPIVOTDATA("Valor Real",DIN_mov!$A$3,"Tipo",$J$58,"Categoria",$J$41,"Subcategoria",$J50,"Mês Referência",K$2),0)*-1</f>
        <v>0</v>
      </c>
      <c r="L50" s="141">
        <f>IFERROR(GETPIVOTDATA("Valor Real",DIN_mov!$A$3,"Tipo",$J$58,"Categoria",$J$41,"Subcategoria",$J50,"Mês Referência",L$2),0)*-1</f>
        <v>0</v>
      </c>
      <c r="M50" s="141">
        <f>IFERROR(GETPIVOTDATA("Valor Real",DIN_mov!$A$3,"Tipo",$J$58,"Categoria",$J$41,"Subcategoria",$J50,"Mês Referência",M$2),0)*-1</f>
        <v>0</v>
      </c>
      <c r="N50" s="141">
        <f>IFERROR(GETPIVOTDATA("Valor Real",DIN_mov!$A$3,"Tipo",$J$58,"Categoria",$J$41,"Subcategoria",$J50,"Mês Referência",N$2),0)*-1</f>
        <v>0</v>
      </c>
      <c r="O50" s="141">
        <f>IFERROR(GETPIVOTDATA("Valor Real",DIN_mov!$A$3,"Tipo",$J$58,"Categoria",$J$41,"Subcategoria",$J50,"Mês Referência",O$2),0)*-1</f>
        <v>0</v>
      </c>
      <c r="P50" s="141">
        <f>IFERROR(GETPIVOTDATA("Valor Real",DIN_mov!$A$3,"Tipo",$J$58,"Categoria",$J$41,"Subcategoria",$J50,"Mês Referência",P$2),0)*-1</f>
        <v>0</v>
      </c>
    </row>
    <row r="51" spans="2:16" ht="30" customHeight="1" x14ac:dyDescent="0.35">
      <c r="B51" s="115">
        <f t="shared" ca="1" si="8"/>
        <v>44383</v>
      </c>
      <c r="C51" s="116" t="str">
        <f t="shared" ca="1" si="6"/>
        <v>terça-feira</v>
      </c>
      <c r="D51" s="117">
        <f ca="1">SUMIFS(Tabela_Movimentacao[Valor Fluxo],Tabela_Movimentacao[Vencimento Útil],Dashboard!B51,Tabela_Movimentacao[Tipo],"Receita")+SUMIFS(Tabela_Movimentacao[Valor Fluxo],Tabela_Movimentacao[Vencimento Útil],Dashboard!B51,Tabela_Movimentacao[Tipo],"Aporte")</f>
        <v>0</v>
      </c>
      <c r="E51" s="118">
        <f ca="1">SUMIFS(Tabela_Movimentacao[Valor Fluxo],Tabela_Movimentacao[Vencimento Útil],Dashboard!B51,Tabela_Movimentacao[Tipo],"Despesa")*-1</f>
        <v>0</v>
      </c>
      <c r="F51" s="119"/>
      <c r="G51" s="120">
        <f t="shared" ca="1" si="9"/>
        <v>-189.99</v>
      </c>
      <c r="H51" s="118">
        <f t="shared" ca="1" si="7"/>
        <v>0</v>
      </c>
      <c r="J51" s="132" t="s">
        <v>31</v>
      </c>
      <c r="K51" s="141">
        <f>IFERROR(GETPIVOTDATA("Valor Real",DIN_mov!$A$3,"Tipo",$J$58,"Categoria",$J$41,"Subcategoria",$J51,"Mês Referência",K$2),0)*-1</f>
        <v>0</v>
      </c>
      <c r="L51" s="141">
        <f>IFERROR(GETPIVOTDATA("Valor Real",DIN_mov!$A$3,"Tipo",$J$58,"Categoria",$J$41,"Subcategoria",$J51,"Mês Referência",L$2),0)*-1</f>
        <v>0</v>
      </c>
      <c r="M51" s="141">
        <f>IFERROR(GETPIVOTDATA("Valor Real",DIN_mov!$A$3,"Tipo",$J$58,"Categoria",$J$41,"Subcategoria",$J51,"Mês Referência",M$2),0)*-1</f>
        <v>0</v>
      </c>
      <c r="N51" s="141">
        <f>IFERROR(GETPIVOTDATA("Valor Real",DIN_mov!$A$3,"Tipo",$J$58,"Categoria",$J$41,"Subcategoria",$J51,"Mês Referência",N$2),0)*-1</f>
        <v>0</v>
      </c>
      <c r="O51" s="141">
        <f>IFERROR(GETPIVOTDATA("Valor Real",DIN_mov!$A$3,"Tipo",$J$58,"Categoria",$J$41,"Subcategoria",$J51,"Mês Referência",O$2),0)*-1</f>
        <v>0</v>
      </c>
      <c r="P51" s="141">
        <f>IFERROR(GETPIVOTDATA("Valor Real",DIN_mov!$A$3,"Tipo",$J$58,"Categoria",$J$41,"Subcategoria",$J51,"Mês Referência",P$2),0)*-1</f>
        <v>0</v>
      </c>
    </row>
    <row r="52" spans="2:16" ht="30" customHeight="1" x14ac:dyDescent="0.35">
      <c r="B52" s="115">
        <f t="shared" ca="1" si="8"/>
        <v>44384</v>
      </c>
      <c r="C52" s="116" t="str">
        <f t="shared" ca="1" si="6"/>
        <v>quarta-feira</v>
      </c>
      <c r="D52" s="117">
        <f ca="1">SUMIFS(Tabela_Movimentacao[Valor Fluxo],Tabela_Movimentacao[Vencimento Útil],Dashboard!B52,Tabela_Movimentacao[Tipo],"Receita")+SUMIFS(Tabela_Movimentacao[Valor Fluxo],Tabela_Movimentacao[Vencimento Útil],Dashboard!B52,Tabela_Movimentacao[Tipo],"Aporte")</f>
        <v>0</v>
      </c>
      <c r="E52" s="118">
        <f ca="1">SUMIFS(Tabela_Movimentacao[Valor Fluxo],Tabela_Movimentacao[Vencimento Útil],Dashboard!B52,Tabela_Movimentacao[Tipo],"Despesa")*-1</f>
        <v>0</v>
      </c>
      <c r="F52" s="119"/>
      <c r="G52" s="120">
        <f t="shared" ca="1" si="9"/>
        <v>-189.99</v>
      </c>
      <c r="H52" s="118">
        <f t="shared" ca="1" si="7"/>
        <v>0</v>
      </c>
      <c r="J52" s="130" t="s">
        <v>12</v>
      </c>
      <c r="K52" s="131">
        <f t="shared" ref="K52:P52" si="12">SUM(K53:K57)</f>
        <v>-1862</v>
      </c>
      <c r="L52" s="131">
        <f t="shared" si="12"/>
        <v>0</v>
      </c>
      <c r="M52" s="131">
        <f t="shared" si="12"/>
        <v>0</v>
      </c>
      <c r="N52" s="131">
        <f t="shared" si="12"/>
        <v>0</v>
      </c>
      <c r="O52" s="131">
        <f t="shared" si="12"/>
        <v>0</v>
      </c>
      <c r="P52" s="131">
        <f t="shared" si="12"/>
        <v>0</v>
      </c>
    </row>
    <row r="53" spans="2:16" ht="30" customHeight="1" x14ac:dyDescent="0.35">
      <c r="B53" s="115">
        <f t="shared" ca="1" si="8"/>
        <v>44385</v>
      </c>
      <c r="C53" s="116" t="str">
        <f t="shared" ca="1" si="6"/>
        <v>quinta-feira</v>
      </c>
      <c r="D53" s="117">
        <f ca="1">SUMIFS(Tabela_Movimentacao[Valor Fluxo],Tabela_Movimentacao[Vencimento Útil],Dashboard!B53,Tabela_Movimentacao[Tipo],"Receita")+SUMIFS(Tabela_Movimentacao[Valor Fluxo],Tabela_Movimentacao[Vencimento Útil],Dashboard!B53,Tabela_Movimentacao[Tipo],"Aporte")</f>
        <v>0</v>
      </c>
      <c r="E53" s="118">
        <f ca="1">SUMIFS(Tabela_Movimentacao[Valor Fluxo],Tabela_Movimentacao[Vencimento Útil],Dashboard!B53,Tabela_Movimentacao[Tipo],"Despesa")*-1</f>
        <v>0</v>
      </c>
      <c r="F53" s="119"/>
      <c r="G53" s="120">
        <f t="shared" ca="1" si="9"/>
        <v>-189.99</v>
      </c>
      <c r="H53" s="118">
        <f t="shared" ca="1" si="7"/>
        <v>0</v>
      </c>
      <c r="J53" s="132" t="s">
        <v>178</v>
      </c>
      <c r="K53" s="141">
        <f>IFERROR(GETPIVOTDATA("Valor Real",DIN_mov!$A$3,"Tipo",$J$58,"Categoria",$J$52,"Subcategoria",$J53,"Mês Referência",K$2),0)*-1</f>
        <v>0</v>
      </c>
      <c r="L53" s="141">
        <f>IFERROR(GETPIVOTDATA("Valor Real",DIN_mov!$A$3,"Tipo",$J$58,"Categoria",$J$52,"Subcategoria",$J53,"Mês Referência",L$2),0)*-1</f>
        <v>0</v>
      </c>
      <c r="M53" s="141">
        <f>IFERROR(GETPIVOTDATA("Valor Real",DIN_mov!$A$3,"Tipo",$J$58,"Categoria",$J$52,"Subcategoria",$J53,"Mês Referência",M$2),0)*-1</f>
        <v>0</v>
      </c>
      <c r="N53" s="141">
        <f>IFERROR(GETPIVOTDATA("Valor Real",DIN_mov!$A$3,"Tipo",$J$58,"Categoria",$J$52,"Subcategoria",$J53,"Mês Referência",N$2),0)*-1</f>
        <v>0</v>
      </c>
      <c r="O53" s="141">
        <f>IFERROR(GETPIVOTDATA("Valor Real",DIN_mov!$A$3,"Tipo",$J$58,"Categoria",$J$52,"Subcategoria",$J53,"Mês Referência",O$2),0)*-1</f>
        <v>0</v>
      </c>
      <c r="P53" s="141">
        <f>IFERROR(GETPIVOTDATA("Valor Real",DIN_mov!$A$3,"Tipo",$J$58,"Categoria",$J$52,"Subcategoria",$J53,"Mês Referência",P$2),0)*-1</f>
        <v>0</v>
      </c>
    </row>
    <row r="54" spans="2:16" ht="30" customHeight="1" x14ac:dyDescent="0.35">
      <c r="B54" s="115">
        <f t="shared" ca="1" si="8"/>
        <v>44386</v>
      </c>
      <c r="C54" s="116" t="str">
        <f t="shared" ca="1" si="6"/>
        <v>sexta-feira</v>
      </c>
      <c r="D54" s="117">
        <f ca="1">SUMIFS(Tabela_Movimentacao[Valor Fluxo],Tabela_Movimentacao[Vencimento Útil],Dashboard!B54,Tabela_Movimentacao[Tipo],"Receita")+SUMIFS(Tabela_Movimentacao[Valor Fluxo],Tabela_Movimentacao[Vencimento Útil],Dashboard!B54,Tabela_Movimentacao[Tipo],"Aporte")</f>
        <v>0</v>
      </c>
      <c r="E54" s="118">
        <f ca="1">SUMIFS(Tabela_Movimentacao[Valor Fluxo],Tabela_Movimentacao[Vencimento Útil],Dashboard!B54,Tabela_Movimentacao[Tipo],"Despesa")*-1</f>
        <v>0</v>
      </c>
      <c r="F54" s="119"/>
      <c r="G54" s="120">
        <f t="shared" ca="1" si="9"/>
        <v>-189.99</v>
      </c>
      <c r="H54" s="118">
        <f t="shared" ca="1" si="7"/>
        <v>0</v>
      </c>
      <c r="J54" s="132" t="s">
        <v>22</v>
      </c>
      <c r="K54" s="141">
        <f>IFERROR(GETPIVOTDATA("Valor Real",DIN_mov!$A$3,"Tipo",$J$58,"Categoria",$J$52,"Subcategoria",$J54,"Mês Referência",K$2),0)*-1</f>
        <v>0</v>
      </c>
      <c r="L54" s="141">
        <f>IFERROR(GETPIVOTDATA("Valor Real",DIN_mov!$A$3,"Tipo",$J$58,"Categoria",$J$52,"Subcategoria",$J54,"Mês Referência",L$2),0)*-1</f>
        <v>0</v>
      </c>
      <c r="M54" s="141">
        <f>IFERROR(GETPIVOTDATA("Valor Real",DIN_mov!$A$3,"Tipo",$J$58,"Categoria",$J$52,"Subcategoria",$J54,"Mês Referência",M$2),0)*-1</f>
        <v>0</v>
      </c>
      <c r="N54" s="141">
        <f>IFERROR(GETPIVOTDATA("Valor Real",DIN_mov!$A$3,"Tipo",$J$58,"Categoria",$J$52,"Subcategoria",$J54,"Mês Referência",N$2),0)*-1</f>
        <v>0</v>
      </c>
      <c r="O54" s="141">
        <f>IFERROR(GETPIVOTDATA("Valor Real",DIN_mov!$A$3,"Tipo",$J$58,"Categoria",$J$52,"Subcategoria",$J54,"Mês Referência",O$2),0)*-1</f>
        <v>0</v>
      </c>
      <c r="P54" s="141">
        <f>IFERROR(GETPIVOTDATA("Valor Real",DIN_mov!$A$3,"Tipo",$J$58,"Categoria",$J$52,"Subcategoria",$J54,"Mês Referência",P$2),0)*-1</f>
        <v>0</v>
      </c>
    </row>
    <row r="55" spans="2:16" ht="30" customHeight="1" x14ac:dyDescent="0.35">
      <c r="B55" s="115">
        <f t="shared" ca="1" si="8"/>
        <v>44387</v>
      </c>
      <c r="C55" s="116" t="str">
        <f t="shared" ca="1" si="6"/>
        <v>sábado</v>
      </c>
      <c r="D55" s="117">
        <f ca="1">SUMIFS(Tabela_Movimentacao[Valor Fluxo],Tabela_Movimentacao[Vencimento Útil],Dashboard!B55,Tabela_Movimentacao[Tipo],"Receita")+SUMIFS(Tabela_Movimentacao[Valor Fluxo],Tabela_Movimentacao[Vencimento Útil],Dashboard!B55,Tabela_Movimentacao[Tipo],"Aporte")</f>
        <v>0</v>
      </c>
      <c r="E55" s="118">
        <f ca="1">SUMIFS(Tabela_Movimentacao[Valor Fluxo],Tabela_Movimentacao[Vencimento Útil],Dashboard!B55,Tabela_Movimentacao[Tipo],"Despesa")*-1</f>
        <v>0</v>
      </c>
      <c r="F55" s="119"/>
      <c r="G55" s="120">
        <f t="shared" ca="1" si="9"/>
        <v>-189.99</v>
      </c>
      <c r="H55" s="118">
        <f t="shared" ca="1" si="7"/>
        <v>0</v>
      </c>
      <c r="J55" s="132" t="s">
        <v>195</v>
      </c>
      <c r="K55" s="141">
        <f>IFERROR(GETPIVOTDATA("Valor Real",DIN_mov!$A$3,"Tipo",$J$58,"Categoria",$J$52,"Subcategoria",$J55,"Mês Referência",K$2),0)*-1</f>
        <v>0</v>
      </c>
      <c r="L55" s="141">
        <f>IFERROR(GETPIVOTDATA("Valor Real",DIN_mov!$A$3,"Tipo",$J$58,"Categoria",$J$52,"Subcategoria",$J55,"Mês Referência",L$2),0)*-1</f>
        <v>0</v>
      </c>
      <c r="M55" s="141">
        <f>IFERROR(GETPIVOTDATA("Valor Real",DIN_mov!$A$3,"Tipo",$J$58,"Categoria",$J$52,"Subcategoria",$J55,"Mês Referência",M$2),0)*-1</f>
        <v>0</v>
      </c>
      <c r="N55" s="141">
        <f>IFERROR(GETPIVOTDATA("Valor Real",DIN_mov!$A$3,"Tipo",$J$58,"Categoria",$J$52,"Subcategoria",$J55,"Mês Referência",N$2),0)*-1</f>
        <v>0</v>
      </c>
      <c r="O55" s="141">
        <f>IFERROR(GETPIVOTDATA("Valor Real",DIN_mov!$A$3,"Tipo",$J$58,"Categoria",$J$52,"Subcategoria",$J55,"Mês Referência",O$2),0)*-1</f>
        <v>0</v>
      </c>
      <c r="P55" s="141">
        <f>IFERROR(GETPIVOTDATA("Valor Real",DIN_mov!$A$3,"Tipo",$J$58,"Categoria",$J$52,"Subcategoria",$J55,"Mês Referência",P$2),0)*-1</f>
        <v>0</v>
      </c>
    </row>
    <row r="56" spans="2:16" ht="30" customHeight="1" x14ac:dyDescent="0.35">
      <c r="B56" s="115">
        <f t="shared" ca="1" si="8"/>
        <v>44388</v>
      </c>
      <c r="C56" s="116" t="str">
        <f t="shared" ca="1" si="6"/>
        <v>domingo</v>
      </c>
      <c r="D56" s="117">
        <f ca="1">SUMIFS(Tabela_Movimentacao[Valor Fluxo],Tabela_Movimentacao[Vencimento Útil],Dashboard!B56,Tabela_Movimentacao[Tipo],"Receita")+SUMIFS(Tabela_Movimentacao[Valor Fluxo],Tabela_Movimentacao[Vencimento Útil],Dashboard!B56,Tabela_Movimentacao[Tipo],"Aporte")</f>
        <v>0</v>
      </c>
      <c r="E56" s="118">
        <f ca="1">SUMIFS(Tabela_Movimentacao[Valor Fluxo],Tabela_Movimentacao[Vencimento Útil],Dashboard!B56,Tabela_Movimentacao[Tipo],"Despesa")*-1</f>
        <v>0</v>
      </c>
      <c r="F56" s="119"/>
      <c r="G56" s="120">
        <f t="shared" ca="1" si="9"/>
        <v>-189.99</v>
      </c>
      <c r="H56" s="118">
        <f t="shared" ca="1" si="7"/>
        <v>0</v>
      </c>
      <c r="J56" s="132" t="s">
        <v>41</v>
      </c>
      <c r="K56" s="141">
        <f>IFERROR(GETPIVOTDATA("Valor Real",DIN_mov!$A$3,"Tipo",$J$58,"Categoria",$J$52,"Subcategoria",$J56,"Mês Referência",K$2),0)*-1</f>
        <v>0</v>
      </c>
      <c r="L56" s="141">
        <f>IFERROR(GETPIVOTDATA("Valor Real",DIN_mov!$A$3,"Tipo",$J$58,"Categoria",$J$52,"Subcategoria",$J56,"Mês Referência",L$2),0)*-1</f>
        <v>0</v>
      </c>
      <c r="M56" s="141">
        <f>IFERROR(GETPIVOTDATA("Valor Real",DIN_mov!$A$3,"Tipo",$J$58,"Categoria",$J$52,"Subcategoria",$J56,"Mês Referência",M$2),0)*-1</f>
        <v>0</v>
      </c>
      <c r="N56" s="141">
        <f>IFERROR(GETPIVOTDATA("Valor Real",DIN_mov!$A$3,"Tipo",$J$58,"Categoria",$J$52,"Subcategoria",$J56,"Mês Referência",N$2),0)*-1</f>
        <v>0</v>
      </c>
      <c r="O56" s="141">
        <f>IFERROR(GETPIVOTDATA("Valor Real",DIN_mov!$A$3,"Tipo",$J$58,"Categoria",$J$52,"Subcategoria",$J56,"Mês Referência",O$2),0)*-1</f>
        <v>0</v>
      </c>
      <c r="P56" s="141">
        <f>IFERROR(GETPIVOTDATA("Valor Real",DIN_mov!$A$3,"Tipo",$J$58,"Categoria",$J$52,"Subcategoria",$J56,"Mês Referência",P$2),0)*-1</f>
        <v>0</v>
      </c>
    </row>
    <row r="57" spans="2:16" ht="30" customHeight="1" x14ac:dyDescent="0.35">
      <c r="B57" s="115">
        <f t="shared" ca="1" si="8"/>
        <v>44389</v>
      </c>
      <c r="C57" s="116" t="str">
        <f t="shared" ca="1" si="6"/>
        <v>segunda-feira</v>
      </c>
      <c r="D57" s="117">
        <f ca="1">SUMIFS(Tabela_Movimentacao[Valor Fluxo],Tabela_Movimentacao[Vencimento Útil],Dashboard!B57,Tabela_Movimentacao[Tipo],"Receita")+SUMIFS(Tabela_Movimentacao[Valor Fluxo],Tabela_Movimentacao[Vencimento Útil],Dashboard!B57,Tabela_Movimentacao[Tipo],"Aporte")</f>
        <v>0</v>
      </c>
      <c r="E57" s="118">
        <f ca="1">SUMIFS(Tabela_Movimentacao[Valor Fluxo],Tabela_Movimentacao[Vencimento Útil],Dashboard!B57,Tabela_Movimentacao[Tipo],"Despesa")*-1</f>
        <v>0</v>
      </c>
      <c r="F57" s="119"/>
      <c r="G57" s="120">
        <f t="shared" ca="1" si="9"/>
        <v>-189.99</v>
      </c>
      <c r="H57" s="118">
        <f t="shared" ca="1" si="7"/>
        <v>0</v>
      </c>
      <c r="J57" s="132" t="s">
        <v>55</v>
      </c>
      <c r="K57" s="141">
        <f>IFERROR(GETPIVOTDATA("Valor Real",DIN_mov!$A$3,"Tipo",$J$58,"Categoria",$J$52,"Subcategoria",$J57,"Mês Referência",K$2),0)*-1</f>
        <v>-1862</v>
      </c>
      <c r="L57" s="141">
        <f>IFERROR(GETPIVOTDATA("Valor Real",DIN_mov!$A$3,"Tipo",$J$58,"Categoria",$J$52,"Subcategoria",$J57,"Mês Referência",L$2),0)*-1</f>
        <v>0</v>
      </c>
      <c r="M57" s="141">
        <f>IFERROR(GETPIVOTDATA("Valor Real",DIN_mov!$A$3,"Tipo",$J$58,"Categoria",$J$52,"Subcategoria",$J57,"Mês Referência",M$2),0)*-1</f>
        <v>0</v>
      </c>
      <c r="N57" s="141">
        <f>IFERROR(GETPIVOTDATA("Valor Real",DIN_mov!$A$3,"Tipo",$J$58,"Categoria",$J$52,"Subcategoria",$J57,"Mês Referência",N$2),0)*-1</f>
        <v>0</v>
      </c>
      <c r="O57" s="141">
        <f>IFERROR(GETPIVOTDATA("Valor Real",DIN_mov!$A$3,"Tipo",$J$58,"Categoria",$J$52,"Subcategoria",$J57,"Mês Referência",O$2),0)*-1</f>
        <v>0</v>
      </c>
      <c r="P57" s="141">
        <f>IFERROR(GETPIVOTDATA("Valor Real",DIN_mov!$A$3,"Tipo",$J$58,"Categoria",$J$52,"Subcategoria",$J57,"Mês Referência",P$2),0)*-1</f>
        <v>0</v>
      </c>
    </row>
    <row r="58" spans="2:16" ht="30" customHeight="1" x14ac:dyDescent="0.35">
      <c r="B58" s="115">
        <f t="shared" ca="1" si="8"/>
        <v>44390</v>
      </c>
      <c r="C58" s="116" t="str">
        <f t="shared" ca="1" si="6"/>
        <v>terça-feira</v>
      </c>
      <c r="D58" s="117">
        <f ca="1">SUMIFS(Tabela_Movimentacao[Valor Fluxo],Tabela_Movimentacao[Vencimento Útil],Dashboard!B58,Tabela_Movimentacao[Tipo],"Receita")+SUMIFS(Tabela_Movimentacao[Valor Fluxo],Tabela_Movimentacao[Vencimento Útil],Dashboard!B58,Tabela_Movimentacao[Tipo],"Aporte")</f>
        <v>0</v>
      </c>
      <c r="E58" s="118">
        <f ca="1">SUMIFS(Tabela_Movimentacao[Valor Fluxo],Tabela_Movimentacao[Vencimento Útil],Dashboard!B58,Tabela_Movimentacao[Tipo],"Despesa")*-1</f>
        <v>0</v>
      </c>
      <c r="F58" s="119"/>
      <c r="G58" s="120">
        <f t="shared" ca="1" si="9"/>
        <v>-189.99</v>
      </c>
      <c r="H58" s="118">
        <f t="shared" ca="1" si="7"/>
        <v>0</v>
      </c>
      <c r="J58" s="133" t="s">
        <v>56</v>
      </c>
      <c r="K58" s="129">
        <f t="shared" ref="K58:P58" si="13">SUM(K52+K41+K33+K27+K23+K19+K15)</f>
        <v>-2858.8399999999997</v>
      </c>
      <c r="L58" s="129">
        <f t="shared" si="13"/>
        <v>-1652.76</v>
      </c>
      <c r="M58" s="129">
        <f t="shared" si="13"/>
        <v>-2154.83</v>
      </c>
      <c r="N58" s="129">
        <f t="shared" si="13"/>
        <v>-1324.57</v>
      </c>
      <c r="O58" s="129">
        <f t="shared" si="13"/>
        <v>-976.03</v>
      </c>
      <c r="P58" s="129">
        <f t="shared" si="13"/>
        <v>0</v>
      </c>
    </row>
    <row r="59" spans="2:16" ht="30" customHeight="1" x14ac:dyDescent="0.35">
      <c r="B59" s="115">
        <f t="shared" ca="1" si="8"/>
        <v>44391</v>
      </c>
      <c r="C59" s="116" t="str">
        <f t="shared" ca="1" si="6"/>
        <v>quarta-feira</v>
      </c>
      <c r="D59" s="117">
        <f ca="1">SUMIFS(Tabela_Movimentacao[Valor Fluxo],Tabela_Movimentacao[Vencimento Útil],Dashboard!B59,Tabela_Movimentacao[Tipo],"Receita")+SUMIFS(Tabela_Movimentacao[Valor Fluxo],Tabela_Movimentacao[Vencimento Útil],Dashboard!B59,Tabela_Movimentacao[Tipo],"Aporte")</f>
        <v>0</v>
      </c>
      <c r="E59" s="118">
        <f ca="1">SUMIFS(Tabela_Movimentacao[Valor Fluxo],Tabela_Movimentacao[Vencimento Útil],Dashboard!B59,Tabela_Movimentacao[Tipo],"Despesa")*-1</f>
        <v>0</v>
      </c>
      <c r="F59" s="119"/>
      <c r="G59" s="120">
        <f t="shared" ca="1" si="9"/>
        <v>-189.99</v>
      </c>
      <c r="H59" s="118">
        <f t="shared" ca="1" si="7"/>
        <v>0</v>
      </c>
      <c r="J59" s="274" t="s">
        <v>99</v>
      </c>
      <c r="K59" s="274"/>
      <c r="L59" s="274"/>
      <c r="M59" s="274"/>
      <c r="N59" s="274"/>
      <c r="O59" s="274"/>
      <c r="P59" s="274"/>
    </row>
    <row r="60" spans="2:16" ht="30" customHeight="1" x14ac:dyDescent="0.35">
      <c r="B60" s="115">
        <f t="shared" ca="1" si="8"/>
        <v>44392</v>
      </c>
      <c r="C60" s="116" t="str">
        <f t="shared" ca="1" si="6"/>
        <v>quinta-feira</v>
      </c>
      <c r="D60" s="117">
        <f ca="1">SUMIFS(Tabela_Movimentacao[Valor Fluxo],Tabela_Movimentacao[Vencimento Útil],Dashboard!B60,Tabela_Movimentacao[Tipo],"Receita")+SUMIFS(Tabela_Movimentacao[Valor Fluxo],Tabela_Movimentacao[Vencimento Útil],Dashboard!B60,Tabela_Movimentacao[Tipo],"Aporte")</f>
        <v>0</v>
      </c>
      <c r="E60" s="118">
        <f ca="1">SUMIFS(Tabela_Movimentacao[Valor Fluxo],Tabela_Movimentacao[Vencimento Útil],Dashboard!B60,Tabela_Movimentacao[Tipo],"Despesa")*-1</f>
        <v>0</v>
      </c>
      <c r="F60" s="119"/>
      <c r="G60" s="120">
        <f t="shared" ca="1" si="9"/>
        <v>-189.99</v>
      </c>
      <c r="H60" s="118">
        <f t="shared" ca="1" si="7"/>
        <v>0</v>
      </c>
      <c r="J60" s="127" t="s">
        <v>91</v>
      </c>
      <c r="K60" s="140">
        <f t="shared" ref="K60:P60" si="14">K13</f>
        <v>0</v>
      </c>
      <c r="L60" s="140">
        <f t="shared" si="14"/>
        <v>3000</v>
      </c>
      <c r="M60" s="140">
        <f t="shared" si="14"/>
        <v>0</v>
      </c>
      <c r="N60" s="140">
        <f t="shared" si="14"/>
        <v>0</v>
      </c>
      <c r="O60" s="140">
        <f t="shared" si="14"/>
        <v>0</v>
      </c>
      <c r="P60" s="140">
        <f t="shared" si="14"/>
        <v>0</v>
      </c>
    </row>
    <row r="61" spans="2:16" ht="30" customHeight="1" x14ac:dyDescent="0.35">
      <c r="B61" s="135"/>
      <c r="C61" s="136"/>
      <c r="D61" s="121">
        <f ca="1">SUM(D30:D60)</f>
        <v>0</v>
      </c>
      <c r="E61" s="121">
        <f ca="1">SUM(E30:E60)</f>
        <v>-190</v>
      </c>
      <c r="F61" s="121">
        <f>SUM(F30:F60)</f>
        <v>0</v>
      </c>
      <c r="G61" s="122" t="s">
        <v>206</v>
      </c>
      <c r="H61" s="121">
        <f ca="1">SUM(H30:H60)</f>
        <v>-190</v>
      </c>
      <c r="J61" s="127" t="s">
        <v>90</v>
      </c>
      <c r="K61" s="140">
        <f t="shared" ref="K61:P61" si="15">K58</f>
        <v>-2858.8399999999997</v>
      </c>
      <c r="L61" s="140">
        <f t="shared" si="15"/>
        <v>-1652.76</v>
      </c>
      <c r="M61" s="140">
        <f t="shared" si="15"/>
        <v>-2154.83</v>
      </c>
      <c r="N61" s="140">
        <f t="shared" si="15"/>
        <v>-1324.57</v>
      </c>
      <c r="O61" s="140">
        <f t="shared" si="15"/>
        <v>-976.03</v>
      </c>
      <c r="P61" s="140">
        <f t="shared" si="15"/>
        <v>0</v>
      </c>
    </row>
    <row r="62" spans="2:16" ht="30" customHeight="1" x14ac:dyDescent="0.35">
      <c r="J62" s="133" t="s">
        <v>96</v>
      </c>
      <c r="K62" s="134">
        <f>SUM(K60:K61)</f>
        <v>-2858.8399999999997</v>
      </c>
      <c r="L62" s="134">
        <f t="shared" ref="L62:P62" si="16">SUM(L60:L61)</f>
        <v>1347.24</v>
      </c>
      <c r="M62" s="134">
        <f t="shared" si="16"/>
        <v>-2154.83</v>
      </c>
      <c r="N62" s="134">
        <f t="shared" si="16"/>
        <v>-1324.57</v>
      </c>
      <c r="O62" s="134">
        <f t="shared" si="16"/>
        <v>-976.03</v>
      </c>
      <c r="P62" s="134">
        <f t="shared" si="16"/>
        <v>0</v>
      </c>
    </row>
    <row r="63" spans="2:16" ht="30" customHeight="1" x14ac:dyDescent="0.35">
      <c r="J63" s="127" t="s">
        <v>97</v>
      </c>
      <c r="K63" s="141">
        <f>IFERROR(GETPIVOTDATA("Valor Real",DIN_mov!$A$3,"Tipo",$J$58,"Categoria",$J$27,"Subcategoria",$J63,"Mês Referência",K$2),0)*-1</f>
        <v>0</v>
      </c>
      <c r="L63" s="141">
        <f>IFERROR(GETPIVOTDATA("Valor Real",DIN_mov!$A$3,"Tipo",$J$58,"Categoria",$J$27,"Subcategoria",$J63,"Mês Referência",L$2),0)*-1</f>
        <v>0</v>
      </c>
      <c r="M63" s="141">
        <f>IFERROR(GETPIVOTDATA("Valor Real",DIN_mov!$A$3,"Tipo",$J$58,"Categoria",$J$27,"Subcategoria",$J63,"Mês Referência",M$2),0)*-1</f>
        <v>0</v>
      </c>
      <c r="N63" s="141">
        <f>IFERROR(GETPIVOTDATA("Valor Real",DIN_mov!$A$3,"Tipo",$J$58,"Categoria",$J$27,"Subcategoria",$J63,"Mês Referência",N$2),0)*-1</f>
        <v>0</v>
      </c>
      <c r="O63" s="141">
        <f>IFERROR(GETPIVOTDATA("Valor Real",DIN_mov!$A$3,"Tipo",$J$58,"Categoria",$J$27,"Subcategoria",$J63,"Mês Referência",O$2),0)*-1</f>
        <v>0</v>
      </c>
      <c r="P63" s="141">
        <f>IFERROR(GETPIVOTDATA("Valor Real",DIN_mov!$A$3,"Tipo",$J$58,"Categoria",$J$27,"Subcategoria",$J63,"Mês Referência",P$2),0)*-1</f>
        <v>0</v>
      </c>
    </row>
    <row r="64" spans="2:16" ht="30" customHeight="1" x14ac:dyDescent="0.35">
      <c r="B64" s="267" t="s">
        <v>104</v>
      </c>
      <c r="C64" s="267"/>
      <c r="D64" s="267"/>
      <c r="E64" s="267"/>
      <c r="F64" s="16"/>
      <c r="G64" s="272" t="s">
        <v>198</v>
      </c>
      <c r="H64" s="273"/>
      <c r="J64" s="170" t="s">
        <v>302</v>
      </c>
      <c r="K64" s="171">
        <f>K62+K63</f>
        <v>-2858.8399999999997</v>
      </c>
      <c r="L64" s="171">
        <f t="shared" ref="L64:P64" si="17">L62+L63</f>
        <v>1347.24</v>
      </c>
      <c r="M64" s="171">
        <f t="shared" si="17"/>
        <v>-2154.83</v>
      </c>
      <c r="N64" s="171">
        <f t="shared" si="17"/>
        <v>-1324.57</v>
      </c>
      <c r="O64" s="171">
        <f t="shared" si="17"/>
        <v>-976.03</v>
      </c>
      <c r="P64" s="171">
        <f t="shared" si="17"/>
        <v>0</v>
      </c>
    </row>
    <row r="65" spans="1:16" s="43" customFormat="1" ht="30" customHeight="1" x14ac:dyDescent="0.35">
      <c r="A65" s="16"/>
      <c r="B65" s="102" t="s">
        <v>59</v>
      </c>
      <c r="C65" s="102" t="s">
        <v>64</v>
      </c>
      <c r="D65" s="102" t="s">
        <v>65</v>
      </c>
      <c r="E65" s="102" t="s">
        <v>63</v>
      </c>
      <c r="F65" s="16"/>
      <c r="G65" s="102" t="s">
        <v>190</v>
      </c>
      <c r="H65" s="102" t="s">
        <v>200</v>
      </c>
      <c r="J65" s="184"/>
      <c r="K65" s="185"/>
      <c r="L65" s="185"/>
      <c r="M65" s="185"/>
      <c r="N65" s="185"/>
      <c r="O65" s="185"/>
      <c r="P65" s="185"/>
    </row>
    <row r="66" spans="1:16" s="43" customFormat="1" ht="30" customHeight="1" x14ac:dyDescent="0.35">
      <c r="A66" s="16"/>
      <c r="B66" s="103" t="s">
        <v>201</v>
      </c>
      <c r="C66" s="183">
        <v>0.5</v>
      </c>
      <c r="D66" s="183">
        <v>0.25</v>
      </c>
      <c r="E66" s="183">
        <v>0.25</v>
      </c>
      <c r="F66" s="101">
        <v>1</v>
      </c>
      <c r="G66" s="106" t="str">
        <f>IFERROR(VLOOKUP(SMALL(Tabela7[Rank],F66),Tabela7[#All],2,0),"")</f>
        <v>Domínio Website</v>
      </c>
      <c r="H66" s="107">
        <f ca="1">IFERROR(IF(IFERROR(VLOOKUP(SMALL(Tabela7[Rank],F66),Tabela7[#All],5,0),"")-TODAY()&lt;0,"Vencido",IFERROR(VLOOKUP(SMALL(Tabela7[Rank],F66),Tabela7[#All],5,0),"")-TODAY()),"")</f>
        <v>1</v>
      </c>
      <c r="J66" s="266" t="s">
        <v>376</v>
      </c>
      <c r="K66" s="266"/>
      <c r="L66" s="266"/>
      <c r="M66" s="266"/>
      <c r="N66" s="266"/>
      <c r="O66" s="266"/>
      <c r="P66" s="266"/>
    </row>
    <row r="67" spans="1:16" ht="30" customHeight="1" x14ac:dyDescent="0.35">
      <c r="B67" s="103" t="s">
        <v>58</v>
      </c>
      <c r="C67" s="104">
        <f ca="1">SUMIFS(Tabela_Movimentacao[Valor Real],Tabela_Movimentacao[Subcategoria],"Sócio",Tabela_Movimentacao[Pagador],Dashboard!C65,Tabela_Movimentacao[Status],"Pago")</f>
        <v>236668.09</v>
      </c>
      <c r="D67" s="104">
        <f ca="1">SUMIFS(Tabela_Movimentacao[Valor Real],Tabela_Movimentacao[Subcategoria],"Sócio",Tabela_Movimentacao[Pagador],Dashboard!D65,Tabela_Movimentacao[Status],"Pago")</f>
        <v>113497.16</v>
      </c>
      <c r="E67" s="104">
        <f ca="1">SUMIFS(Tabela_Movimentacao[Valor Real],Tabela_Movimentacao[Subcategoria],"Sócio",Tabela_Movimentacao[Pagador],Dashboard!E65,Tabela_Movimentacao[Status],"Pago")</f>
        <v>112533.7</v>
      </c>
      <c r="F67" s="101">
        <v>2</v>
      </c>
      <c r="G67" s="108" t="str">
        <f>IFERROR(VLOOKUP(SMALL(Tabela7[Rank],F67),Tabela7[#All],2,0),"")</f>
        <v>Alarme Madalena</v>
      </c>
      <c r="H67" s="109">
        <f ca="1">IFERROR(IF(IFERROR(VLOOKUP(SMALL(Tabela7[Rank],F67),Tabela7[#All],5,0),"")-TODAY()&lt;0,"Vencido",IFERROR(VLOOKUP(SMALL(Tabela7[Rank],F67),Tabela7[#All],5,0),"")-TODAY()),"")</f>
        <v>505</v>
      </c>
      <c r="J67" s="130" t="s">
        <v>49</v>
      </c>
      <c r="K67" s="131">
        <f t="shared" ref="K67:P67" si="18">SUM(K68:K70)</f>
        <v>-59344.6</v>
      </c>
      <c r="L67" s="131">
        <f t="shared" si="18"/>
        <v>-70796.67</v>
      </c>
      <c r="M67" s="131">
        <f t="shared" si="18"/>
        <v>-45915.369999999995</v>
      </c>
      <c r="N67" s="131">
        <f t="shared" si="18"/>
        <v>-32004.92</v>
      </c>
      <c r="O67" s="131">
        <f t="shared" si="18"/>
        <v>0</v>
      </c>
      <c r="P67" s="131">
        <f t="shared" si="18"/>
        <v>0</v>
      </c>
    </row>
    <row r="68" spans="1:16" ht="30" customHeight="1" x14ac:dyDescent="0.35">
      <c r="B68" s="138" t="s">
        <v>245</v>
      </c>
      <c r="C68" s="104">
        <f ca="1">SUMIFS(Tabela_Movimentacao[Valor Real],Tabela_Movimentacao[Tipo],"Despesa",Tabela_Movimentacao[Recebedor],Dashboard!C65,Tabela_Movimentacao[Subcategoria],"Reembolso",Tabela_Movimentacao[Status],"Pago")*-1</f>
        <v>-1050</v>
      </c>
      <c r="D68" s="104">
        <f>SUMIFS(Tabela_Movimentacao[Valor Real],Tabela_Movimentacao[Tipo],"Despesa",Tabela_Movimentacao[Recebedor],Dashboard!D65,Tabela_Movimentacao[Subcategoria],"Reembolso",Tabela_Movimentacao[Status],"Pago")*-1</f>
        <v>0</v>
      </c>
      <c r="E68" s="104">
        <f>SUMIFS(Tabela_Movimentacao[Valor Real],Tabela_Movimentacao[Tipo],"Despesa",Tabela_Movimentacao[Recebedor],Dashboard!E65,Tabela_Movimentacao[Subcategoria],"Reembolso",Tabela_Movimentacao[Status],"Pago")*-1</f>
        <v>0</v>
      </c>
      <c r="F68" s="101">
        <v>3</v>
      </c>
      <c r="G68" s="106" t="str">
        <f>IFERROR(VLOOKUP(SMALL(Tabela7[Rank],F68),Tabela7[#All],2,0),"")</f>
        <v>Aluguel Madalena</v>
      </c>
      <c r="H68" s="107">
        <f ca="1">IFERROR(IF(IFERROR(VLOOKUP(SMALL(Tabela7[Rank],F68),Tabela7[#All],5,0),"")-TODAY()&lt;0,"Vencido",IFERROR(VLOOKUP(SMALL(Tabela7[Rank],F68),Tabela7[#All],5,0),"")-TODAY()),"")</f>
        <v>3364</v>
      </c>
      <c r="J68" s="132" t="s">
        <v>48</v>
      </c>
      <c r="K68" s="141">
        <f>IFERROR(GETPIVOTDATA("Valor Real",DIN_mov!$A$3,"Tipo",$J$58,"Categoria",$J$67,"Subcategoria",$J68,"Mês Referência",K$2),0)*-1</f>
        <v>-34560.93</v>
      </c>
      <c r="L68" s="141">
        <f>IFERROR(GETPIVOTDATA("Valor Real",DIN_mov!$A$3,"Tipo",$J$58,"Categoria",$J$67,"Subcategoria",$J68,"Mês Referência",L$2),0)*-1</f>
        <v>-27426.34</v>
      </c>
      <c r="M68" s="141">
        <f>IFERROR(GETPIVOTDATA("Valor Real",DIN_mov!$A$3,"Tipo",$J$58,"Categoria",$J$67,"Subcategoria",$J68,"Mês Referência",M$2),0)*-1</f>
        <v>-15116.11</v>
      </c>
      <c r="N68" s="141">
        <f>IFERROR(GETPIVOTDATA("Valor Real",DIN_mov!$A$3,"Tipo",$J$58,"Categoria",$J$67,"Subcategoria",$J68,"Mês Referência",N$2),0)*-1</f>
        <v>-14099.21</v>
      </c>
      <c r="O68" s="141">
        <f>IFERROR(GETPIVOTDATA("Valor Real",DIN_mov!$A$3,"Tipo",$J$58,"Categoria",$J$67,"Subcategoria",$J68,"Mês Referência",O$2),0)*-1</f>
        <v>0</v>
      </c>
      <c r="P68" s="141">
        <f>IFERROR(GETPIVOTDATA("Valor Real",DIN_mov!$A$3,"Tipo",$J$58,"Categoria",$J$67,"Subcategoria",$J68,"Mês Referência",P$2),0)*-1</f>
        <v>0</v>
      </c>
    </row>
    <row r="69" spans="1:16" ht="30" customHeight="1" x14ac:dyDescent="0.35">
      <c r="B69" s="102" t="s">
        <v>57</v>
      </c>
      <c r="C69" s="105">
        <f ca="1">IF(LARGE($C$70:$E$70,1)=C70,0,LARGE($C$70:$E$70,1)*C66-C67)</f>
        <v>0</v>
      </c>
      <c r="D69" s="105">
        <f ca="1">IF(LARGE($C$70:$E$70,1)=D70,0,LARGE($C$70:$E$70,1)*D66-D67)</f>
        <v>4311.8849999999948</v>
      </c>
      <c r="E69" s="105">
        <f ca="1">IF(LARGE($C$70:$E$70,1)=E70,0,LARGE($C$70:$E$70,1)*E66-E67)</f>
        <v>5275.3450000000012</v>
      </c>
      <c r="F69" s="101">
        <v>4</v>
      </c>
      <c r="G69" s="108" t="str">
        <f>IFERROR(VLOOKUP(SMALL(Tabela7[Rank],F69),Tabela7[#All],2,0),"")</f>
        <v/>
      </c>
      <c r="H69" s="109" t="str">
        <f ca="1">IFERROR(IF(IFERROR(VLOOKUP(SMALL(Tabela7[Rank],F69),Tabela7[#All],5,0),"")-TODAY()&lt;0,"Vencido",IFERROR(VLOOKUP(SMALL(Tabela7[Rank],F69),Tabela7[#All],5,0),"")-TODAY()),"")</f>
        <v/>
      </c>
      <c r="J69" s="132" t="s">
        <v>197</v>
      </c>
      <c r="K69" s="141">
        <f>IFERROR(GETPIVOTDATA("Valor Real",DIN_mov!$A$3,"Tipo",$J$58,"Categoria",$J$67,"Subcategoria",$J69,"Mês Referência",K$2),0)*-1</f>
        <v>0</v>
      </c>
      <c r="L69" s="141">
        <f>IFERROR(GETPIVOTDATA("Valor Real",DIN_mov!$A$3,"Tipo",$J$58,"Categoria",$J$67,"Subcategoria",$J69,"Mês Referência",L$2),0)*-1</f>
        <v>0</v>
      </c>
      <c r="M69" s="141">
        <f>IFERROR(GETPIVOTDATA("Valor Real",DIN_mov!$A$3,"Tipo",$J$58,"Categoria",$J$67,"Subcategoria",$J69,"Mês Referência",M$2),0)*-1</f>
        <v>0</v>
      </c>
      <c r="N69" s="141">
        <f>IFERROR(GETPIVOTDATA("Valor Real",DIN_mov!$A$3,"Tipo",$J$58,"Categoria",$J$67,"Subcategoria",$J69,"Mês Referência",N$2),0)*-1</f>
        <v>0</v>
      </c>
      <c r="O69" s="141">
        <f>IFERROR(GETPIVOTDATA("Valor Real",DIN_mov!$A$3,"Tipo",$J$58,"Categoria",$J$67,"Subcategoria",$J69,"Mês Referência",O$2),0)*-1</f>
        <v>0</v>
      </c>
      <c r="P69" s="141">
        <f>IFERROR(GETPIVOTDATA("Valor Real",DIN_mov!$A$3,"Tipo",$J$58,"Categoria",$J$67,"Subcategoria",$J69,"Mês Referência",P$2),0)*-1</f>
        <v>0</v>
      </c>
    </row>
    <row r="70" spans="1:16" ht="30" customHeight="1" x14ac:dyDescent="0.35">
      <c r="C70" s="93">
        <f ca="1">(C67+C68)/C66</f>
        <v>471236.18</v>
      </c>
      <c r="D70" s="93">
        <f ca="1">(D67+D68)/D66</f>
        <v>453988.64</v>
      </c>
      <c r="E70" s="93">
        <f ca="1">(E67+E68)/E66</f>
        <v>450134.8</v>
      </c>
      <c r="F70" s="101">
        <v>5</v>
      </c>
      <c r="G70" s="110" t="str">
        <f>IFERROR(VLOOKUP(SMALL(Tabela7[Rank],F70),Tabela7[#All],2,0),"")</f>
        <v/>
      </c>
      <c r="H70" s="111" t="str">
        <f ca="1">IFERROR(IF(IFERROR(VLOOKUP(SMALL(Tabela7[Rank],F70),Tabela7[#All],5,0),"")-TODAY()&lt;0,"Vencido",IFERROR(VLOOKUP(SMALL(Tabela7[Rank],F70),Tabela7[#All],5,0),"")-TODAY()),"")</f>
        <v/>
      </c>
      <c r="J70" s="132" t="s">
        <v>50</v>
      </c>
      <c r="K70" s="141">
        <f>IFERROR(GETPIVOTDATA("Valor Real",DIN_mov!$A$3,"Tipo",$J$58,"Categoria",$J$67,"Subcategoria",$J70,"Mês Referência",K$2),0)*-1</f>
        <v>-24783.67</v>
      </c>
      <c r="L70" s="141">
        <f>IFERROR(GETPIVOTDATA("Valor Real",DIN_mov!$A$3,"Tipo",$J$58,"Categoria",$J$67,"Subcategoria",$J70,"Mês Referência",L$2),0)*-1</f>
        <v>-43370.33</v>
      </c>
      <c r="M70" s="141">
        <f>IFERROR(GETPIVOTDATA("Valor Real",DIN_mov!$A$3,"Tipo",$J$58,"Categoria",$J$67,"Subcategoria",$J70,"Mês Referência",M$2),0)*-1</f>
        <v>-30799.26</v>
      </c>
      <c r="N70" s="141">
        <f>IFERROR(GETPIVOTDATA("Valor Real",DIN_mov!$A$3,"Tipo",$J$58,"Categoria",$J$67,"Subcategoria",$J70,"Mês Referência",N$2),0)*-1</f>
        <v>-17905.71</v>
      </c>
      <c r="O70" s="141">
        <f>IFERROR(GETPIVOTDATA("Valor Real",DIN_mov!$A$3,"Tipo",$J$58,"Categoria",$J$67,"Subcategoria",$J70,"Mês Referência",O$2),0)*-1</f>
        <v>0</v>
      </c>
      <c r="P70" s="141">
        <f>IFERROR(GETPIVOTDATA("Valor Real",DIN_mov!$A$3,"Tipo",$J$58,"Categoria",$J$67,"Subcategoria",$J70,"Mês Referência",P$2),0)*-1</f>
        <v>0</v>
      </c>
    </row>
    <row r="71" spans="1:16" ht="30" customHeight="1" x14ac:dyDescent="0.35">
      <c r="B71" s="16"/>
      <c r="C71" s="16"/>
      <c r="D71" s="16"/>
      <c r="E71" s="16"/>
      <c r="F71" s="16"/>
      <c r="G71" s="16"/>
      <c r="H71" s="16"/>
      <c r="J71" s="127" t="s">
        <v>35</v>
      </c>
      <c r="K71" s="142">
        <f>IFERROR(GETPIVOTDATA("Valor Real",DIN_mov!$A$3,"Tipo",$J$58,"Categoria",$J$41,"Subcategoria",$J71,"Mês Referência",K$2),0)*-1</f>
        <v>0</v>
      </c>
      <c r="L71" s="142">
        <f>IFERROR(GETPIVOTDATA("Valor Real",DIN_mov!$A$3,"Tipo",$J$58,"Categoria",$J$41,"Subcategoria",$J71,"Mês Referência",L$2),0)*-1</f>
        <v>0</v>
      </c>
      <c r="M71" s="142">
        <f>IFERROR(GETPIVOTDATA("Valor Real",DIN_mov!$A$3,"Tipo",$J$58,"Categoria",$J$41,"Subcategoria",$J71,"Mês Referência",M$2),0)*-1</f>
        <v>0</v>
      </c>
      <c r="N71" s="142">
        <f>IFERROR(GETPIVOTDATA("Valor Real",DIN_mov!$A$3,"Tipo",$J$58,"Categoria",$J$41,"Subcategoria",$J71,"Mês Referência",N$2),0)*-1</f>
        <v>0</v>
      </c>
      <c r="O71" s="142">
        <f>IFERROR(GETPIVOTDATA("Valor Real",DIN_mov!$A$3,"Tipo",$J$58,"Categoria",$J$41,"Subcategoria",$J71,"Mês Referência",O$2),0)*-1</f>
        <v>0</v>
      </c>
      <c r="P71" s="142">
        <f>IFERROR(GETPIVOTDATA("Valor Real",DIN_mov!$A$3,"Tipo",$J$58,"Categoria",$J$41,"Subcategoria",$J71,"Mês Referência",P$2),0)*-1</f>
        <v>0</v>
      </c>
    </row>
    <row r="72" spans="1:16" ht="30" customHeight="1" x14ac:dyDescent="0.35">
      <c r="B72" s="260"/>
      <c r="C72" s="261"/>
      <c r="D72" s="261"/>
      <c r="E72" s="261"/>
      <c r="F72" s="261"/>
      <c r="G72" s="261"/>
      <c r="H72" s="262"/>
      <c r="J72" s="127" t="s">
        <v>62</v>
      </c>
      <c r="K72" s="142">
        <f>IFERROR(GETPIVOTDATA("Valor Real",DIN_mov!$A$3,"Tipo","Aporte","Mês Referência",K2),0)</f>
        <v>62583.439999999995</v>
      </c>
      <c r="L72" s="142">
        <f>IFERROR(GETPIVOTDATA("Valor Real",DIN_mov!$A$3,"Tipo","Aporte","Mês Referência",L2),0)</f>
        <v>72069.430000000008</v>
      </c>
      <c r="M72" s="142">
        <f>IFERROR(GETPIVOTDATA("Valor Real",DIN_mov!$A$3,"Tipo","Aporte","Mês Referência",M2),0)</f>
        <v>45070.2</v>
      </c>
      <c r="N72" s="142">
        <f>IFERROR(GETPIVOTDATA("Valor Real",DIN_mov!$A$3,"Tipo","Aporte","Mês Referência",N2),0)</f>
        <v>33329.49</v>
      </c>
      <c r="O72" s="142">
        <f>IFERROR(GETPIVOTDATA("Valor Real",DIN_mov!$A$3,"Tipo","Aporte","Mês Referência",O2),0)</f>
        <v>976.03</v>
      </c>
      <c r="P72" s="142">
        <f>IFERROR(GETPIVOTDATA("Valor Real",DIN_mov!$A$3,"Tipo","Aporte","Mês Referência",P2),0)</f>
        <v>0</v>
      </c>
    </row>
    <row r="73" spans="1:16" ht="30" customHeight="1" x14ac:dyDescent="0.35">
      <c r="B73" s="263"/>
      <c r="C73" s="264"/>
      <c r="D73" s="264"/>
      <c r="E73" s="264"/>
      <c r="F73" s="264"/>
      <c r="G73" s="264"/>
      <c r="H73" s="265"/>
      <c r="J73" s="133" t="s">
        <v>98</v>
      </c>
      <c r="K73" s="129">
        <f>ROUND(K64+K71+K72+K67,2)</f>
        <v>380</v>
      </c>
      <c r="L73" s="129">
        <f t="shared" ref="L73:P73" si="19">ROUND(L64+L71+L72+L67,2)</f>
        <v>2620</v>
      </c>
      <c r="M73" s="129">
        <f t="shared" si="19"/>
        <v>-3000</v>
      </c>
      <c r="N73" s="129">
        <f t="shared" si="19"/>
        <v>0</v>
      </c>
      <c r="O73" s="129">
        <f t="shared" si="19"/>
        <v>0</v>
      </c>
      <c r="P73" s="129">
        <f t="shared" si="19"/>
        <v>0</v>
      </c>
    </row>
    <row r="74" spans="1:16" ht="20.149999999999999" customHeight="1" x14ac:dyDescent="0.35">
      <c r="B74" s="16"/>
      <c r="C74" s="16"/>
      <c r="D74" s="16"/>
      <c r="E74" s="16"/>
      <c r="F74" s="16"/>
      <c r="G74" s="16"/>
      <c r="H74" s="16"/>
    </row>
  </sheetData>
  <sheetProtection selectLockedCells="1"/>
  <sortState xmlns:xlrd2="http://schemas.microsoft.com/office/spreadsheetml/2017/richdata2" ref="J4:J11">
    <sortCondition ref="J4"/>
  </sortState>
  <mergeCells count="30">
    <mergeCell ref="J1:P1"/>
    <mergeCell ref="H24:H25"/>
    <mergeCell ref="B13:D13"/>
    <mergeCell ref="G15:G16"/>
    <mergeCell ref="F15:F16"/>
    <mergeCell ref="J3:P3"/>
    <mergeCell ref="H15:H16"/>
    <mergeCell ref="D1:H3"/>
    <mergeCell ref="D4:H6"/>
    <mergeCell ref="D7:H8"/>
    <mergeCell ref="B1:C8"/>
    <mergeCell ref="E14:E25"/>
    <mergeCell ref="B11:H11"/>
    <mergeCell ref="J14:P14"/>
    <mergeCell ref="F13:H13"/>
    <mergeCell ref="B9:H10"/>
    <mergeCell ref="B72:H73"/>
    <mergeCell ref="J66:P66"/>
    <mergeCell ref="B64:E64"/>
    <mergeCell ref="F18:F19"/>
    <mergeCell ref="G18:G19"/>
    <mergeCell ref="H18:H19"/>
    <mergeCell ref="H21:H22"/>
    <mergeCell ref="F21:F22"/>
    <mergeCell ref="G21:G22"/>
    <mergeCell ref="G24:G25"/>
    <mergeCell ref="F24:F25"/>
    <mergeCell ref="G64:H64"/>
    <mergeCell ref="J59:P59"/>
    <mergeCell ref="B28:F28"/>
  </mergeCells>
  <conditionalFormatting sqref="K4:P6 K8:P13 K16:P18 K20:P22 K24:P26 K28:P32 K34:P40 K42:P51 K53:P57 K60:P65 K68:P70 C67:E68 K73:P73">
    <cfRule type="cellIs" dxfId="410" priority="95" operator="lessThan">
      <formula>0</formula>
    </cfRule>
    <cfRule type="cellIs" dxfId="409" priority="96" operator="greaterThan">
      <formula>0</formula>
    </cfRule>
  </conditionalFormatting>
  <conditionalFormatting sqref="H30:H60 D30:F61">
    <cfRule type="cellIs" dxfId="408" priority="92" operator="lessThan">
      <formula>0</formula>
    </cfRule>
    <cfRule type="cellIs" dxfId="407" priority="93" operator="greaterThan">
      <formula>0</formula>
    </cfRule>
  </conditionalFormatting>
  <conditionalFormatting sqref="H61">
    <cfRule type="cellIs" dxfId="406" priority="90" operator="lessThan">
      <formula>0</formula>
    </cfRule>
    <cfRule type="cellIs" dxfId="405" priority="91" operator="greaterThan">
      <formula>0</formula>
    </cfRule>
  </conditionalFormatting>
  <conditionalFormatting sqref="B15:D25">
    <cfRule type="expression" dxfId="404" priority="101">
      <formula>ISEVEN($A15)=TRUE</formula>
    </cfRule>
  </conditionalFormatting>
  <conditionalFormatting sqref="H28">
    <cfRule type="cellIs" dxfId="403" priority="83" operator="lessThan">
      <formula>0</formula>
    </cfRule>
    <cfRule type="cellIs" dxfId="402" priority="84" operator="greaterThan">
      <formula>0</formula>
    </cfRule>
    <cfRule type="cellIs" dxfId="401" priority="86" operator="lessThan">
      <formula>0</formula>
    </cfRule>
    <cfRule type="cellIs" dxfId="400" priority="87" operator="greaterThan">
      <formula>0</formula>
    </cfRule>
  </conditionalFormatting>
  <conditionalFormatting sqref="H28">
    <cfRule type="expression" dxfId="399" priority="85">
      <formula>OR(H21&lt;&gt;0,H22&lt;&gt;0)</formula>
    </cfRule>
  </conditionalFormatting>
  <conditionalFormatting sqref="G30:G60">
    <cfRule type="cellIs" dxfId="398" priority="81" operator="greaterThan">
      <formula>0</formula>
    </cfRule>
    <cfRule type="cellIs" dxfId="397" priority="82" operator="lessThan">
      <formula>0</formula>
    </cfRule>
  </conditionalFormatting>
  <conditionalFormatting sqref="K31:P31">
    <cfRule type="cellIs" dxfId="396" priority="79" operator="lessThan">
      <formula>0</formula>
    </cfRule>
    <cfRule type="cellIs" dxfId="395" priority="80" operator="greaterThan">
      <formula>0</formula>
    </cfRule>
  </conditionalFormatting>
  <conditionalFormatting sqref="K52:P52">
    <cfRule type="cellIs" dxfId="394" priority="65" operator="lessThan">
      <formula>0</formula>
    </cfRule>
    <cfRule type="cellIs" dxfId="393" priority="66" operator="greaterThan">
      <formula>0</formula>
    </cfRule>
  </conditionalFormatting>
  <conditionalFormatting sqref="K41:P41">
    <cfRule type="cellIs" dxfId="392" priority="61" operator="lessThan">
      <formula>0</formula>
    </cfRule>
    <cfRule type="cellIs" dxfId="391" priority="62" operator="greaterThan">
      <formula>0</formula>
    </cfRule>
  </conditionalFormatting>
  <conditionalFormatting sqref="K33:P33">
    <cfRule type="cellIs" dxfId="390" priority="57" operator="lessThan">
      <formula>0</formula>
    </cfRule>
    <cfRule type="cellIs" dxfId="389" priority="58" operator="greaterThan">
      <formula>0</formula>
    </cfRule>
  </conditionalFormatting>
  <conditionalFormatting sqref="K23:P23">
    <cfRule type="cellIs" dxfId="388" priority="53" operator="lessThan">
      <formula>0</formula>
    </cfRule>
    <cfRule type="cellIs" dxfId="387" priority="54" operator="greaterThan">
      <formula>0</formula>
    </cfRule>
  </conditionalFormatting>
  <conditionalFormatting sqref="K58:P58">
    <cfRule type="cellIs" dxfId="386" priority="63" operator="lessThan">
      <formula>0</formula>
    </cfRule>
    <cfRule type="cellIs" dxfId="385" priority="64" operator="greaterThan">
      <formula>0</formula>
    </cfRule>
  </conditionalFormatting>
  <conditionalFormatting sqref="K67:P67">
    <cfRule type="cellIs" dxfId="384" priority="59" operator="lessThan">
      <formula>0</formula>
    </cfRule>
    <cfRule type="cellIs" dxfId="383" priority="60" operator="greaterThan">
      <formula>0</formula>
    </cfRule>
  </conditionalFormatting>
  <conditionalFormatting sqref="K27:P27">
    <cfRule type="cellIs" dxfId="382" priority="55" operator="lessThan">
      <formula>0</formula>
    </cfRule>
    <cfRule type="cellIs" dxfId="381" priority="56" operator="greaterThan">
      <formula>0</formula>
    </cfRule>
  </conditionalFormatting>
  <conditionalFormatting sqref="K19:P19">
    <cfRule type="cellIs" dxfId="380" priority="51" operator="lessThan">
      <formula>0</formula>
    </cfRule>
    <cfRule type="cellIs" dxfId="379" priority="52" operator="greaterThan">
      <formula>0</formula>
    </cfRule>
  </conditionalFormatting>
  <conditionalFormatting sqref="K15:P15">
    <cfRule type="cellIs" dxfId="378" priority="49" operator="lessThan">
      <formula>0</formula>
    </cfRule>
    <cfRule type="cellIs" dxfId="377" priority="50" operator="greaterThan">
      <formula>0</formula>
    </cfRule>
  </conditionalFormatting>
  <conditionalFormatting sqref="K73:P73">
    <cfRule type="expression" dxfId="376" priority="108">
      <formula>OR(K60&lt;&gt;0,K61&lt;&gt;0)</formula>
    </cfRule>
  </conditionalFormatting>
  <conditionalFormatting sqref="K72:P72">
    <cfRule type="cellIs" dxfId="375" priority="45" operator="lessThan">
      <formula>0</formula>
    </cfRule>
    <cfRule type="cellIs" dxfId="374" priority="46" operator="greaterThan">
      <formula>0</formula>
    </cfRule>
  </conditionalFormatting>
  <conditionalFormatting sqref="P7">
    <cfRule type="cellIs" dxfId="373" priority="43" operator="lessThan">
      <formula>0</formula>
    </cfRule>
    <cfRule type="cellIs" dxfId="372" priority="44" operator="greaterThan">
      <formula>0</formula>
    </cfRule>
  </conditionalFormatting>
  <conditionalFormatting sqref="O7">
    <cfRule type="cellIs" dxfId="371" priority="41" operator="lessThan">
      <formula>0</formula>
    </cfRule>
    <cfRule type="cellIs" dxfId="370" priority="42" operator="greaterThan">
      <formula>0</formula>
    </cfRule>
  </conditionalFormatting>
  <conditionalFormatting sqref="N7">
    <cfRule type="cellIs" dxfId="369" priority="39" operator="lessThan">
      <formula>0</formula>
    </cfRule>
    <cfRule type="cellIs" dxfId="368" priority="40" operator="greaterThan">
      <formula>0</formula>
    </cfRule>
  </conditionalFormatting>
  <conditionalFormatting sqref="M7">
    <cfRule type="cellIs" dxfId="367" priority="37" operator="lessThan">
      <formula>0</formula>
    </cfRule>
    <cfRule type="cellIs" dxfId="366" priority="38" operator="greaterThan">
      <formula>0</formula>
    </cfRule>
  </conditionalFormatting>
  <conditionalFormatting sqref="L7">
    <cfRule type="cellIs" dxfId="365" priority="35" operator="lessThan">
      <formula>0</formula>
    </cfRule>
    <cfRule type="cellIs" dxfId="364" priority="36" operator="greaterThan">
      <formula>0</formula>
    </cfRule>
  </conditionalFormatting>
  <conditionalFormatting sqref="K7">
    <cfRule type="cellIs" dxfId="363" priority="33" operator="lessThan">
      <formula>0</formula>
    </cfRule>
    <cfRule type="cellIs" dxfId="362" priority="34" operator="greaterThan">
      <formula>0</formula>
    </cfRule>
  </conditionalFormatting>
  <conditionalFormatting sqref="P71">
    <cfRule type="cellIs" dxfId="361" priority="19" operator="lessThan">
      <formula>0</formula>
    </cfRule>
    <cfRule type="cellIs" dxfId="360" priority="20" operator="greaterThan">
      <formula>0</formula>
    </cfRule>
  </conditionalFormatting>
  <conditionalFormatting sqref="K71">
    <cfRule type="cellIs" dxfId="359" priority="29" operator="lessThan">
      <formula>0</formula>
    </cfRule>
    <cfRule type="cellIs" dxfId="358" priority="30" operator="greaterThan">
      <formula>0</formula>
    </cfRule>
  </conditionalFormatting>
  <conditionalFormatting sqref="L71">
    <cfRule type="cellIs" dxfId="357" priority="27" operator="lessThan">
      <formula>0</formula>
    </cfRule>
    <cfRule type="cellIs" dxfId="356" priority="28" operator="greaterThan">
      <formula>0</formula>
    </cfRule>
  </conditionalFormatting>
  <conditionalFormatting sqref="M71">
    <cfRule type="cellIs" dxfId="355" priority="25" operator="lessThan">
      <formula>0</formula>
    </cfRule>
    <cfRule type="cellIs" dxfId="354" priority="26" operator="greaterThan">
      <formula>0</formula>
    </cfRule>
  </conditionalFormatting>
  <conditionalFormatting sqref="N71">
    <cfRule type="cellIs" dxfId="353" priority="23" operator="lessThan">
      <formula>0</formula>
    </cfRule>
    <cfRule type="cellIs" dxfId="352" priority="24" operator="greaterThan">
      <formula>0</formula>
    </cfRule>
  </conditionalFormatting>
  <conditionalFormatting sqref="O71">
    <cfRule type="cellIs" dxfId="351" priority="21" operator="lessThan">
      <formula>0</formula>
    </cfRule>
    <cfRule type="cellIs" dxfId="350" priority="22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19685039370078741"/>
  <pageSetup paperSize="9" scale="2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locked="0" defaultSize="0" autoPict="0">
                <anchor moveWithCells="1">
                  <from>
                    <xdr:col>4</xdr:col>
                    <xdr:colOff>88900</xdr:colOff>
                    <xdr:row>13</xdr:row>
                    <xdr:rowOff>146050</xdr:rowOff>
                  </from>
                  <to>
                    <xdr:col>4</xdr:col>
                    <xdr:colOff>609600</xdr:colOff>
                    <xdr:row>23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Scroll Bar 5">
              <controlPr locked="0" defaultSize="0" autoPict="0">
                <anchor moveWithCells="1">
                  <from>
                    <xdr:col>9</xdr:col>
                    <xdr:colOff>19050</xdr:colOff>
                    <xdr:row>0</xdr:row>
                    <xdr:rowOff>361950</xdr:rowOff>
                  </from>
                  <to>
                    <xdr:col>10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017E-C4C8-45FE-8AA0-0AF40E2CB404}">
  <sheetPr>
    <tabColor theme="1"/>
  </sheetPr>
  <dimension ref="A3:P33"/>
  <sheetViews>
    <sheetView workbookViewId="0">
      <selection activeCell="D67" sqref="D67"/>
    </sheetView>
  </sheetViews>
  <sheetFormatPr defaultColWidth="8.7265625" defaultRowHeight="10.5" x14ac:dyDescent="0.25"/>
  <cols>
    <col min="1" max="1" width="20.26953125" style="17" bestFit="1" customWidth="1"/>
    <col min="2" max="2" width="14.1796875" style="17" bestFit="1" customWidth="1"/>
    <col min="3" max="3" width="7.7265625" style="17" bestFit="1" customWidth="1"/>
    <col min="4" max="5" width="8.90625" style="17" bestFit="1" customWidth="1"/>
    <col min="6" max="10" width="9.6328125" style="17" bestFit="1" customWidth="1"/>
    <col min="11" max="12" width="8.90625" style="17" bestFit="1" customWidth="1"/>
    <col min="13" max="13" width="8.81640625" style="17" bestFit="1" customWidth="1"/>
    <col min="14" max="14" width="8.1796875" style="17" bestFit="1" customWidth="1"/>
    <col min="15" max="15" width="9.6328125" style="17" bestFit="1" customWidth="1"/>
    <col min="16" max="16" width="9.54296875" style="17" bestFit="1" customWidth="1"/>
    <col min="17" max="18" width="11.26953125" style="17" bestFit="1" customWidth="1"/>
    <col min="19" max="19" width="12.26953125" style="17" bestFit="1" customWidth="1"/>
    <col min="20" max="20" width="11.26953125" style="17" bestFit="1" customWidth="1"/>
    <col min="21" max="23" width="9.7265625" style="17" bestFit="1" customWidth="1"/>
    <col min="24" max="26" width="12.26953125" style="17" bestFit="1" customWidth="1"/>
    <col min="27" max="28" width="11.26953125" style="17" bestFit="1" customWidth="1"/>
    <col min="29" max="30" width="12.26953125" style="17" bestFit="1" customWidth="1"/>
    <col min="31" max="34" width="11.26953125" style="17" bestFit="1" customWidth="1"/>
    <col min="35" max="35" width="12.26953125" style="17" bestFit="1" customWidth="1"/>
    <col min="36" max="36" width="11.26953125" style="17" bestFit="1" customWidth="1"/>
    <col min="37" max="38" width="12.26953125" style="17" bestFit="1" customWidth="1"/>
    <col min="39" max="39" width="13.453125" style="17" bestFit="1" customWidth="1"/>
    <col min="40" max="40" width="11.26953125" style="17" bestFit="1" customWidth="1"/>
    <col min="41" max="41" width="12.26953125" style="17" bestFit="1" customWidth="1"/>
    <col min="42" max="42" width="11.26953125" style="17" bestFit="1" customWidth="1"/>
    <col min="43" max="44" width="12.26953125" style="17" bestFit="1" customWidth="1"/>
    <col min="45" max="46" width="13.453125" style="17" bestFit="1" customWidth="1"/>
    <col min="47" max="16384" width="8.7265625" style="17"/>
  </cols>
  <sheetData>
    <row r="3" spans="1:16" ht="14.5" x14ac:dyDescent="0.35">
      <c r="A3" s="20" t="s">
        <v>111</v>
      </c>
      <c r="B3" s="20" t="s">
        <v>103</v>
      </c>
      <c r="P3"/>
    </row>
    <row r="4" spans="1:16" ht="14.5" x14ac:dyDescent="0.35">
      <c r="A4" s="20" t="s">
        <v>101</v>
      </c>
      <c r="B4" s="21">
        <v>43952</v>
      </c>
      <c r="C4" s="21">
        <v>44044</v>
      </c>
      <c r="D4" s="21">
        <v>44075</v>
      </c>
      <c r="E4" s="21">
        <v>44105</v>
      </c>
      <c r="F4" s="21">
        <v>44136</v>
      </c>
      <c r="G4" s="21">
        <v>44166</v>
      </c>
      <c r="H4" s="21">
        <v>44197</v>
      </c>
      <c r="I4" s="21">
        <v>44228</v>
      </c>
      <c r="J4" s="21">
        <v>44256</v>
      </c>
      <c r="K4" s="21">
        <v>44287</v>
      </c>
      <c r="L4" s="21">
        <v>44317</v>
      </c>
      <c r="M4" s="17" t="s">
        <v>490</v>
      </c>
      <c r="N4" s="21">
        <v>44348</v>
      </c>
      <c r="O4" s="17" t="s">
        <v>102</v>
      </c>
      <c r="P4"/>
    </row>
    <row r="5" spans="1:16" ht="14.5" x14ac:dyDescent="0.35">
      <c r="A5" s="22" t="s">
        <v>62</v>
      </c>
      <c r="B5" s="24">
        <v>40</v>
      </c>
      <c r="C5" s="24">
        <v>243.39</v>
      </c>
      <c r="D5" s="24">
        <v>5173.49</v>
      </c>
      <c r="E5" s="24">
        <v>37810.120000000003</v>
      </c>
      <c r="F5" s="24">
        <v>59442.119999999995</v>
      </c>
      <c r="G5" s="24">
        <v>83357.810000000012</v>
      </c>
      <c r="H5" s="24">
        <v>62603.43</v>
      </c>
      <c r="I5" s="24">
        <v>62583.439999999995</v>
      </c>
      <c r="J5" s="24">
        <v>72069.430000000008</v>
      </c>
      <c r="K5" s="24">
        <v>45070.2</v>
      </c>
      <c r="L5" s="24">
        <v>33329.49</v>
      </c>
      <c r="M5" s="24"/>
      <c r="N5" s="24">
        <v>976.03</v>
      </c>
      <c r="O5" s="24">
        <v>462698.95</v>
      </c>
      <c r="P5"/>
    </row>
    <row r="6" spans="1:16" ht="14.5" x14ac:dyDescent="0.35">
      <c r="A6" s="23" t="s">
        <v>104</v>
      </c>
      <c r="B6" s="24">
        <v>40</v>
      </c>
      <c r="C6" s="24">
        <v>243.39</v>
      </c>
      <c r="D6" s="24">
        <v>5173.49</v>
      </c>
      <c r="E6" s="24">
        <v>37810.120000000003</v>
      </c>
      <c r="F6" s="24">
        <v>59442.119999999995</v>
      </c>
      <c r="G6" s="24">
        <v>83357.810000000012</v>
      </c>
      <c r="H6" s="24">
        <v>62603.43</v>
      </c>
      <c r="I6" s="24">
        <v>62583.439999999995</v>
      </c>
      <c r="J6" s="24">
        <v>72069.430000000008</v>
      </c>
      <c r="K6" s="24">
        <v>45070.2</v>
      </c>
      <c r="L6" s="24">
        <v>33329.49</v>
      </c>
      <c r="M6" s="24"/>
      <c r="N6" s="24">
        <v>976.03</v>
      </c>
      <c r="O6" s="24">
        <v>462698.95</v>
      </c>
      <c r="P6"/>
    </row>
    <row r="7" spans="1:16" ht="14.5" x14ac:dyDescent="0.35">
      <c r="A7" s="145" t="s">
        <v>59</v>
      </c>
      <c r="B7" s="24">
        <v>40</v>
      </c>
      <c r="C7" s="24">
        <v>243.39</v>
      </c>
      <c r="D7" s="24">
        <v>5173.49</v>
      </c>
      <c r="E7" s="24">
        <v>37810.120000000003</v>
      </c>
      <c r="F7" s="24">
        <v>59442.119999999995</v>
      </c>
      <c r="G7" s="24">
        <v>83357.810000000012</v>
      </c>
      <c r="H7" s="24">
        <v>62603.43</v>
      </c>
      <c r="I7" s="24">
        <v>62583.439999999995</v>
      </c>
      <c r="J7" s="24">
        <v>72069.430000000008</v>
      </c>
      <c r="K7" s="24">
        <v>45070.2</v>
      </c>
      <c r="L7" s="24">
        <v>33329.49</v>
      </c>
      <c r="M7" s="24"/>
      <c r="N7" s="24">
        <v>976.03</v>
      </c>
      <c r="O7" s="24">
        <v>462698.95</v>
      </c>
      <c r="P7"/>
    </row>
    <row r="8" spans="1:16" ht="14.5" x14ac:dyDescent="0.35">
      <c r="A8" s="22" t="s">
        <v>56</v>
      </c>
      <c r="B8" s="24">
        <v>40</v>
      </c>
      <c r="C8" s="24">
        <v>243.39000000000001</v>
      </c>
      <c r="D8" s="24">
        <v>5173.49</v>
      </c>
      <c r="E8" s="24">
        <v>37810.120000000003</v>
      </c>
      <c r="F8" s="24">
        <v>59342.119999999995</v>
      </c>
      <c r="G8" s="24">
        <v>84457.8</v>
      </c>
      <c r="H8" s="24">
        <v>62603.430000000008</v>
      </c>
      <c r="I8" s="24">
        <v>62203.439999999995</v>
      </c>
      <c r="J8" s="24">
        <v>72449.429999999993</v>
      </c>
      <c r="K8" s="24">
        <v>48070.2</v>
      </c>
      <c r="L8" s="24">
        <v>33329.49</v>
      </c>
      <c r="M8" s="24">
        <v>0</v>
      </c>
      <c r="N8" s="24">
        <v>976.03</v>
      </c>
      <c r="O8" s="24">
        <v>466698.94000000006</v>
      </c>
      <c r="P8"/>
    </row>
    <row r="9" spans="1:16" ht="14.5" x14ac:dyDescent="0.35">
      <c r="A9" s="23" t="s">
        <v>34</v>
      </c>
      <c r="B9" s="24"/>
      <c r="C9" s="24"/>
      <c r="D9" s="24"/>
      <c r="E9" s="24"/>
      <c r="F9" s="24">
        <v>370</v>
      </c>
      <c r="G9" s="24">
        <v>296.73</v>
      </c>
      <c r="H9" s="24"/>
      <c r="I9" s="24"/>
      <c r="J9" s="24">
        <v>296.73</v>
      </c>
      <c r="K9" s="24">
        <v>966.81</v>
      </c>
      <c r="L9" s="24">
        <v>140.25</v>
      </c>
      <c r="M9" s="24"/>
      <c r="N9" s="24"/>
      <c r="O9" s="24">
        <v>2070.52</v>
      </c>
      <c r="P9"/>
    </row>
    <row r="10" spans="1:16" ht="14.5" x14ac:dyDescent="0.35">
      <c r="A10" s="145" t="s">
        <v>15</v>
      </c>
      <c r="B10" s="24"/>
      <c r="C10" s="24"/>
      <c r="D10" s="24"/>
      <c r="E10" s="24"/>
      <c r="F10" s="24">
        <v>370</v>
      </c>
      <c r="G10" s="24">
        <v>296.73</v>
      </c>
      <c r="H10" s="24"/>
      <c r="I10" s="24"/>
      <c r="J10" s="24">
        <v>296.73</v>
      </c>
      <c r="K10" s="24">
        <v>966.81</v>
      </c>
      <c r="L10" s="24">
        <v>140.25</v>
      </c>
      <c r="M10" s="24"/>
      <c r="N10" s="24"/>
      <c r="O10" s="24">
        <v>2070.52</v>
      </c>
      <c r="P10"/>
    </row>
    <row r="11" spans="1:16" ht="14.5" x14ac:dyDescent="0.35">
      <c r="A11" s="23" t="s">
        <v>8</v>
      </c>
      <c r="B11" s="24"/>
      <c r="C11" s="24"/>
      <c r="D11" s="24"/>
      <c r="E11" s="24"/>
      <c r="F11" s="24"/>
      <c r="G11" s="24"/>
      <c r="H11" s="24">
        <v>13.88</v>
      </c>
      <c r="I11" s="24">
        <v>20.81</v>
      </c>
      <c r="J11" s="24"/>
      <c r="K11" s="24">
        <v>21.99</v>
      </c>
      <c r="L11" s="24">
        <v>18.29</v>
      </c>
      <c r="M11" s="24"/>
      <c r="N11" s="24"/>
      <c r="O11" s="24">
        <v>74.97</v>
      </c>
      <c r="P11"/>
    </row>
    <row r="12" spans="1:16" ht="14.5" x14ac:dyDescent="0.35">
      <c r="A12" s="145" t="s">
        <v>88</v>
      </c>
      <c r="B12" s="24"/>
      <c r="C12" s="24"/>
      <c r="D12" s="24"/>
      <c r="E12" s="24"/>
      <c r="F12" s="24"/>
      <c r="G12" s="24"/>
      <c r="H12" s="24">
        <v>13.88</v>
      </c>
      <c r="I12" s="24">
        <v>20.81</v>
      </c>
      <c r="J12" s="24"/>
      <c r="K12" s="24">
        <v>21.99</v>
      </c>
      <c r="L12" s="24">
        <v>18.29</v>
      </c>
      <c r="M12" s="24"/>
      <c r="N12" s="24"/>
      <c r="O12" s="24">
        <v>74.97</v>
      </c>
      <c r="P12"/>
    </row>
    <row r="13" spans="1:16" ht="14.5" x14ac:dyDescent="0.35">
      <c r="A13" s="23" t="s">
        <v>13</v>
      </c>
      <c r="B13" s="24"/>
      <c r="C13" s="24"/>
      <c r="D13" s="24">
        <v>939.21</v>
      </c>
      <c r="E13" s="24">
        <v>1286.21</v>
      </c>
      <c r="F13" s="24">
        <v>1130.6100000000001</v>
      </c>
      <c r="G13" s="24">
        <v>347</v>
      </c>
      <c r="H13" s="24">
        <v>423.86</v>
      </c>
      <c r="I13" s="24">
        <v>976.03</v>
      </c>
      <c r="J13" s="24">
        <v>976.03</v>
      </c>
      <c r="K13" s="24">
        <v>976.03</v>
      </c>
      <c r="L13" s="24">
        <v>976.03</v>
      </c>
      <c r="M13" s="24"/>
      <c r="N13" s="24">
        <v>976.03</v>
      </c>
      <c r="O13" s="24">
        <v>9007.0399999999991</v>
      </c>
      <c r="P13"/>
    </row>
    <row r="14" spans="1:16" ht="14.5" x14ac:dyDescent="0.35">
      <c r="A14" s="145" t="s">
        <v>16</v>
      </c>
      <c r="B14" s="24"/>
      <c r="C14" s="24"/>
      <c r="D14" s="24">
        <v>939.21</v>
      </c>
      <c r="E14" s="24">
        <v>939.21</v>
      </c>
      <c r="F14" s="24">
        <v>939.21</v>
      </c>
      <c r="G14" s="24"/>
      <c r="H14" s="24"/>
      <c r="I14" s="24">
        <v>976.03</v>
      </c>
      <c r="J14" s="24">
        <v>976.03</v>
      </c>
      <c r="K14" s="24">
        <v>976.03</v>
      </c>
      <c r="L14" s="24">
        <v>976.03</v>
      </c>
      <c r="M14" s="24"/>
      <c r="N14" s="24">
        <v>976.03</v>
      </c>
      <c r="O14" s="24">
        <v>7697.7799999999988</v>
      </c>
      <c r="P14"/>
    </row>
    <row r="15" spans="1:16" ht="14.5" x14ac:dyDescent="0.35">
      <c r="A15" s="145" t="s">
        <v>30</v>
      </c>
      <c r="B15" s="24"/>
      <c r="C15" s="24"/>
      <c r="D15" s="24"/>
      <c r="E15" s="24">
        <v>347</v>
      </c>
      <c r="F15" s="24">
        <v>191.4</v>
      </c>
      <c r="G15" s="24">
        <v>347</v>
      </c>
      <c r="H15" s="24"/>
      <c r="I15" s="24"/>
      <c r="J15" s="24"/>
      <c r="K15" s="24"/>
      <c r="L15" s="24"/>
      <c r="M15" s="24"/>
      <c r="N15" s="24"/>
      <c r="O15" s="24">
        <v>885.4</v>
      </c>
      <c r="P15"/>
    </row>
    <row r="16" spans="1:16" ht="14.5" x14ac:dyDescent="0.35">
      <c r="A16" s="145" t="s">
        <v>20</v>
      </c>
      <c r="B16" s="24"/>
      <c r="C16" s="24"/>
      <c r="D16" s="24"/>
      <c r="E16" s="24"/>
      <c r="F16" s="24"/>
      <c r="G16" s="24"/>
      <c r="H16" s="24">
        <v>423.86</v>
      </c>
      <c r="I16" s="24"/>
      <c r="J16" s="24"/>
      <c r="K16" s="24"/>
      <c r="L16" s="24"/>
      <c r="M16" s="24"/>
      <c r="N16" s="24"/>
      <c r="O16" s="24">
        <v>423.86</v>
      </c>
      <c r="P16"/>
    </row>
    <row r="17" spans="1:16" ht="14.5" x14ac:dyDescent="0.35">
      <c r="A17" s="23" t="s">
        <v>14</v>
      </c>
      <c r="B17" s="24"/>
      <c r="C17" s="24"/>
      <c r="D17" s="24"/>
      <c r="E17" s="24"/>
      <c r="F17" s="24"/>
      <c r="G17" s="24">
        <v>150</v>
      </c>
      <c r="H17" s="24">
        <v>190</v>
      </c>
      <c r="I17" s="24"/>
      <c r="J17" s="24">
        <v>380</v>
      </c>
      <c r="K17" s="24">
        <v>190</v>
      </c>
      <c r="L17" s="24">
        <v>190</v>
      </c>
      <c r="M17" s="24">
        <v>0</v>
      </c>
      <c r="N17" s="24"/>
      <c r="O17" s="24">
        <v>1100</v>
      </c>
      <c r="P17"/>
    </row>
    <row r="18" spans="1:16" ht="14.5" x14ac:dyDescent="0.35">
      <c r="A18" s="145" t="s">
        <v>27</v>
      </c>
      <c r="B18" s="24"/>
      <c r="C18" s="24"/>
      <c r="D18" s="24"/>
      <c r="E18" s="24"/>
      <c r="F18" s="24"/>
      <c r="G18" s="24">
        <v>150</v>
      </c>
      <c r="H18" s="24">
        <v>190</v>
      </c>
      <c r="I18" s="24"/>
      <c r="J18" s="24">
        <v>380</v>
      </c>
      <c r="K18" s="24">
        <v>190</v>
      </c>
      <c r="L18" s="24">
        <v>190</v>
      </c>
      <c r="M18" s="24">
        <v>0</v>
      </c>
      <c r="N18" s="24"/>
      <c r="O18" s="24">
        <v>1100</v>
      </c>
      <c r="P18"/>
    </row>
    <row r="19" spans="1:16" ht="14.5" x14ac:dyDescent="0.35">
      <c r="A19" s="23" t="s">
        <v>49</v>
      </c>
      <c r="B19" s="24"/>
      <c r="C19" s="24"/>
      <c r="D19" s="24">
        <v>4234.2800000000007</v>
      </c>
      <c r="E19" s="24">
        <v>34823.910000000003</v>
      </c>
      <c r="F19" s="24">
        <v>53331.729999999996</v>
      </c>
      <c r="G19" s="24">
        <v>80402.070000000007</v>
      </c>
      <c r="H19" s="24">
        <v>61675.69</v>
      </c>
      <c r="I19" s="24">
        <v>59344.6</v>
      </c>
      <c r="J19" s="24">
        <v>70796.67</v>
      </c>
      <c r="K19" s="24">
        <v>45915.369999999995</v>
      </c>
      <c r="L19" s="24">
        <v>32004.92</v>
      </c>
      <c r="M19" s="24"/>
      <c r="N19" s="24"/>
      <c r="O19" s="24">
        <v>442529.24</v>
      </c>
      <c r="P19"/>
    </row>
    <row r="20" spans="1:16" ht="14.5" x14ac:dyDescent="0.35">
      <c r="A20" s="145" t="s">
        <v>48</v>
      </c>
      <c r="B20" s="24"/>
      <c r="C20" s="24"/>
      <c r="D20" s="24">
        <v>2934.28</v>
      </c>
      <c r="E20" s="24">
        <v>19020.900000000001</v>
      </c>
      <c r="F20" s="24">
        <v>14531.95</v>
      </c>
      <c r="G20" s="24">
        <v>62526.42</v>
      </c>
      <c r="H20" s="24">
        <v>32410.780000000002</v>
      </c>
      <c r="I20" s="24">
        <v>34560.93</v>
      </c>
      <c r="J20" s="24">
        <v>27426.34</v>
      </c>
      <c r="K20" s="24">
        <v>15116.11</v>
      </c>
      <c r="L20" s="24">
        <v>14099.21</v>
      </c>
      <c r="M20" s="24"/>
      <c r="N20" s="24"/>
      <c r="O20" s="24">
        <v>222626.92</v>
      </c>
      <c r="P20"/>
    </row>
    <row r="21" spans="1:16" ht="14.5" x14ac:dyDescent="0.35">
      <c r="A21" s="145" t="s">
        <v>50</v>
      </c>
      <c r="B21" s="24"/>
      <c r="C21" s="24"/>
      <c r="D21" s="24">
        <v>1300</v>
      </c>
      <c r="E21" s="24">
        <v>15803.01</v>
      </c>
      <c r="F21" s="24">
        <v>38799.78</v>
      </c>
      <c r="G21" s="24">
        <v>17875.650000000001</v>
      </c>
      <c r="H21" s="24">
        <v>29264.91</v>
      </c>
      <c r="I21" s="24">
        <v>24783.67</v>
      </c>
      <c r="J21" s="24">
        <v>43370.33</v>
      </c>
      <c r="K21" s="24">
        <v>30799.26</v>
      </c>
      <c r="L21" s="24">
        <v>17905.71</v>
      </c>
      <c r="M21" s="24"/>
      <c r="N21" s="24"/>
      <c r="O21" s="24">
        <v>219902.32</v>
      </c>
      <c r="P21"/>
    </row>
    <row r="22" spans="1:16" ht="14.5" x14ac:dyDescent="0.35">
      <c r="A22" s="23" t="s">
        <v>11</v>
      </c>
      <c r="B22" s="24"/>
      <c r="C22" s="24"/>
      <c r="D22" s="24"/>
      <c r="E22" s="24"/>
      <c r="F22" s="24">
        <v>1050</v>
      </c>
      <c r="G22" s="24"/>
      <c r="H22" s="24"/>
      <c r="I22" s="24"/>
      <c r="J22" s="24"/>
      <c r="K22" s="24"/>
      <c r="L22" s="24"/>
      <c r="M22" s="24"/>
      <c r="N22" s="24"/>
      <c r="O22" s="24">
        <v>1050</v>
      </c>
      <c r="P22"/>
    </row>
    <row r="23" spans="1:16" ht="14.5" x14ac:dyDescent="0.35">
      <c r="A23" s="145" t="s">
        <v>72</v>
      </c>
      <c r="B23" s="24"/>
      <c r="C23" s="24"/>
      <c r="D23" s="24"/>
      <c r="E23" s="24"/>
      <c r="F23" s="24">
        <v>1050</v>
      </c>
      <c r="G23" s="24"/>
      <c r="H23" s="24"/>
      <c r="I23" s="24"/>
      <c r="J23" s="24"/>
      <c r="K23" s="24"/>
      <c r="L23" s="24"/>
      <c r="M23" s="24"/>
      <c r="N23" s="24"/>
      <c r="O23" s="24">
        <v>1050</v>
      </c>
      <c r="P23"/>
    </row>
    <row r="24" spans="1:16" ht="14.5" x14ac:dyDescent="0.35">
      <c r="A24" s="23" t="s">
        <v>12</v>
      </c>
      <c r="B24" s="24">
        <v>40</v>
      </c>
      <c r="C24" s="24">
        <v>243.39000000000001</v>
      </c>
      <c r="D24" s="24"/>
      <c r="E24" s="24">
        <v>1700</v>
      </c>
      <c r="F24" s="24">
        <v>3459.78</v>
      </c>
      <c r="G24" s="24">
        <v>3262</v>
      </c>
      <c r="H24" s="24">
        <v>300</v>
      </c>
      <c r="I24" s="24">
        <v>1862</v>
      </c>
      <c r="J24" s="24"/>
      <c r="K24" s="24"/>
      <c r="L24" s="24"/>
      <c r="M24" s="24"/>
      <c r="N24" s="24"/>
      <c r="O24" s="24">
        <v>10867.17</v>
      </c>
      <c r="P24"/>
    </row>
    <row r="25" spans="1:16" ht="14.5" x14ac:dyDescent="0.35">
      <c r="A25" s="145" t="s">
        <v>178</v>
      </c>
      <c r="B25" s="24"/>
      <c r="C25" s="24">
        <v>31.4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>
        <v>31.4</v>
      </c>
      <c r="P25"/>
    </row>
    <row r="26" spans="1:16" ht="14.5" x14ac:dyDescent="0.35">
      <c r="A26" s="145" t="s">
        <v>55</v>
      </c>
      <c r="B26" s="24">
        <v>40</v>
      </c>
      <c r="C26" s="24">
        <v>211.99</v>
      </c>
      <c r="D26" s="24"/>
      <c r="E26" s="24">
        <v>1700</v>
      </c>
      <c r="F26" s="24">
        <v>3459.78</v>
      </c>
      <c r="G26" s="24">
        <v>3262</v>
      </c>
      <c r="H26" s="24">
        <v>300</v>
      </c>
      <c r="I26" s="24">
        <v>1862</v>
      </c>
      <c r="J26" s="24"/>
      <c r="K26" s="24"/>
      <c r="L26" s="24"/>
      <c r="M26" s="24"/>
      <c r="N26" s="24"/>
      <c r="O26" s="24">
        <v>10835.77</v>
      </c>
      <c r="P26"/>
    </row>
    <row r="27" spans="1:16" ht="14.5" x14ac:dyDescent="0.35">
      <c r="A27" s="22" t="s">
        <v>89</v>
      </c>
      <c r="B27" s="24"/>
      <c r="C27" s="24"/>
      <c r="D27" s="24"/>
      <c r="E27" s="24"/>
      <c r="F27" s="24">
        <v>1000</v>
      </c>
      <c r="G27" s="24"/>
      <c r="H27" s="24"/>
      <c r="I27" s="24"/>
      <c r="J27" s="24">
        <v>3000</v>
      </c>
      <c r="K27" s="24"/>
      <c r="L27" s="24"/>
      <c r="M27" s="24"/>
      <c r="N27" s="24"/>
      <c r="O27" s="24">
        <v>4000</v>
      </c>
      <c r="P27"/>
    </row>
    <row r="28" spans="1:16" ht="14.5" x14ac:dyDescent="0.35">
      <c r="A28" s="23" t="s">
        <v>91</v>
      </c>
      <c r="B28" s="24"/>
      <c r="C28" s="24"/>
      <c r="D28" s="24"/>
      <c r="E28" s="24"/>
      <c r="F28" s="24">
        <v>1000</v>
      </c>
      <c r="G28" s="24"/>
      <c r="H28" s="24"/>
      <c r="I28" s="24"/>
      <c r="J28" s="24">
        <v>3000</v>
      </c>
      <c r="K28" s="24"/>
      <c r="L28" s="24"/>
      <c r="M28" s="24"/>
      <c r="N28" s="24"/>
      <c r="O28" s="24">
        <v>4000</v>
      </c>
      <c r="P28"/>
    </row>
    <row r="29" spans="1:16" ht="14.5" x14ac:dyDescent="0.35">
      <c r="A29" s="145" t="s">
        <v>223</v>
      </c>
      <c r="B29" s="24"/>
      <c r="C29" s="24"/>
      <c r="D29" s="24"/>
      <c r="E29" s="24"/>
      <c r="F29" s="24">
        <v>1000</v>
      </c>
      <c r="G29" s="24"/>
      <c r="H29" s="24"/>
      <c r="I29" s="24"/>
      <c r="J29" s="24">
        <v>3000</v>
      </c>
      <c r="K29" s="24"/>
      <c r="L29" s="24"/>
      <c r="M29" s="24"/>
      <c r="N29" s="24"/>
      <c r="O29" s="24">
        <v>4000</v>
      </c>
      <c r="P29"/>
    </row>
    <row r="30" spans="1:16" ht="14.5" x14ac:dyDescent="0.35">
      <c r="A30" s="22" t="s">
        <v>102</v>
      </c>
      <c r="B30" s="24">
        <v>80</v>
      </c>
      <c r="C30" s="24">
        <v>486.78</v>
      </c>
      <c r="D30" s="24">
        <v>10346.98</v>
      </c>
      <c r="E30" s="24">
        <v>75620.240000000005</v>
      </c>
      <c r="F30" s="24">
        <v>119784.23999999999</v>
      </c>
      <c r="G30" s="24">
        <v>167815.61000000002</v>
      </c>
      <c r="H30" s="24">
        <v>125206.86</v>
      </c>
      <c r="I30" s="24">
        <v>124786.87999999999</v>
      </c>
      <c r="J30" s="24">
        <v>147518.85999999999</v>
      </c>
      <c r="K30" s="24">
        <v>93140.4</v>
      </c>
      <c r="L30" s="24">
        <v>66658.98</v>
      </c>
      <c r="M30" s="24">
        <v>0</v>
      </c>
      <c r="N30" s="24">
        <v>1952.06</v>
      </c>
      <c r="O30" s="24">
        <v>933397.89</v>
      </c>
      <c r="P30"/>
    </row>
    <row r="31" spans="1:16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2" ht="14.5" x14ac:dyDescent="0.35">
      <c r="A33"/>
      <c r="B33"/>
      <c r="C33"/>
      <c r="D33"/>
      <c r="E33"/>
      <c r="F33"/>
      <c r="G33"/>
      <c r="H33"/>
      <c r="I33"/>
      <c r="J33"/>
      <c r="K33"/>
      <c r="L3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722C-B5BD-4B29-A40A-6EBF08CB30F5}">
  <sheetPr codeName="Planilha3">
    <tabColor rgb="FFFF0000"/>
    <pageSetUpPr fitToPage="1"/>
  </sheetPr>
  <dimension ref="A1:Y365"/>
  <sheetViews>
    <sheetView showGridLines="0" topLeftCell="A7" zoomScale="70" zoomScaleNormal="70" zoomScaleSheetLayoutView="90" workbookViewId="0">
      <selection activeCell="H363" sqref="H363"/>
    </sheetView>
  </sheetViews>
  <sheetFormatPr defaultColWidth="0" defaultRowHeight="35.5" customHeight="1" x14ac:dyDescent="0.35"/>
  <cols>
    <col min="1" max="1" width="6.81640625" style="16" bestFit="1" customWidth="1"/>
    <col min="2" max="2" width="4.81640625" style="16" customWidth="1"/>
    <col min="3" max="3" width="12.26953125" bestFit="1" customWidth="1"/>
    <col min="4" max="4" width="17" style="16" customWidth="1"/>
    <col min="5" max="5" width="19.1796875" style="16" customWidth="1"/>
    <col min="6" max="6" width="31.81640625" style="16" customWidth="1"/>
    <col min="7" max="7" width="14.1796875" style="16" customWidth="1"/>
    <col min="8" max="8" width="14" style="16" customWidth="1"/>
    <col min="9" max="9" width="23" style="16" bestFit="1" customWidth="1"/>
    <col min="10" max="11" width="12.7265625" bestFit="1" customWidth="1"/>
    <col min="12" max="12" width="22.54296875" style="16" bestFit="1" customWidth="1"/>
    <col min="13" max="13" width="26.7265625" style="16" customWidth="1"/>
    <col min="14" max="14" width="8.1796875" style="16" bestFit="1" customWidth="1"/>
    <col min="15" max="15" width="9.81640625" style="16" bestFit="1" customWidth="1"/>
    <col min="16" max="16" width="10.453125" bestFit="1" customWidth="1"/>
    <col min="17" max="17" width="13.54296875" style="16" bestFit="1" customWidth="1"/>
    <col min="18" max="18" width="12.81640625" style="16" bestFit="1" customWidth="1"/>
    <col min="19" max="19" width="12.7265625" style="16" bestFit="1" customWidth="1"/>
    <col min="20" max="20" width="12.7265625" style="16" customWidth="1"/>
    <col min="21" max="21" width="12.7265625" style="16" bestFit="1" customWidth="1"/>
    <col min="22" max="22" width="18.1796875" style="16" hidden="1" customWidth="1"/>
    <col min="23" max="23" width="12.81640625" style="16" hidden="1" customWidth="1"/>
    <col min="24" max="25" width="18.1796875" style="16" hidden="1" customWidth="1"/>
    <col min="26" max="16384" width="8.7265625" style="16" hidden="1"/>
  </cols>
  <sheetData>
    <row r="1" spans="1:22" ht="19" customHeight="1" thickBot="1" x14ac:dyDescent="0.4">
      <c r="C1" s="16"/>
      <c r="J1" s="16"/>
      <c r="K1" s="16"/>
      <c r="P1" s="16"/>
    </row>
    <row r="2" spans="1:22" ht="15" customHeight="1" thickTop="1" x14ac:dyDescent="0.35">
      <c r="A2" s="297" t="s">
        <v>321</v>
      </c>
      <c r="B2" s="298"/>
      <c r="C2" s="298"/>
      <c r="D2" s="298"/>
      <c r="E2" s="298"/>
      <c r="F2" s="299"/>
      <c r="G2" s="293" t="s">
        <v>70</v>
      </c>
      <c r="H2" s="294"/>
      <c r="I2" s="295" t="s">
        <v>374</v>
      </c>
      <c r="J2" s="296"/>
      <c r="K2" s="16"/>
    </row>
    <row r="3" spans="1:22" ht="14.5" customHeight="1" x14ac:dyDescent="0.35">
      <c r="A3" s="300"/>
      <c r="B3" s="301"/>
      <c r="C3" s="301"/>
      <c r="D3" s="301"/>
      <c r="E3" s="301"/>
      <c r="F3" s="302"/>
      <c r="G3" s="212">
        <f ca="1">_xlfn.MINIFS(Tabela_Movimentacao[Vencimento Útil],Tabela_Movimentacao[Pagamento],"",Tabela_Movimentacao[Cancelar],"",Tabela_Movimentacao[Status],"&lt;&gt;"&amp;"Vencido")</f>
        <v>44382</v>
      </c>
      <c r="H3" s="211">
        <f ca="1">SUMIFS(Tabela_Movimentacao[Valor],Tabela_Movimentacao[Vencimento Útil],G3,Tabela_Movimentacao[Status],"&lt;&gt;"&amp;"Pago",Tabela_Movimentacao[Status],"&lt;&gt;"&amp;"Cancelado",Tabela_Movimentacao[Status],"&lt;&gt;"&amp;"Vencido",Tabela_Movimentacao[Tipo],"Despesa")</f>
        <v>190</v>
      </c>
      <c r="I3" s="212">
        <f ca="1">_xlfn.MINIFS(Tabela_Movimentacao[Vencimento Útil],Tabela_Movimentacao[Pagamento],"",Tabela_Movimentacao[Cancelar],"",Tabela_Movimentacao[Status],"&lt;&gt;"&amp;"Vencido")</f>
        <v>44382</v>
      </c>
      <c r="J3" s="211">
        <f ca="1">SUMIFS(Tabela_Movimentacao[Valor],Tabela_Movimentacao[Vencimento Útil],I3,Tabela_Movimentacao[Status],"&lt;&gt;"&amp;"Pago",Tabela_Movimentacao[Status],"&lt;&gt;"&amp;"Cancelado",Tabela_Movimentacao[Status],"&lt;&gt;"&amp;"Vencido",Tabela_Movimentacao[Tipo],"Receita")</f>
        <v>0</v>
      </c>
      <c r="K3" s="16"/>
    </row>
    <row r="4" spans="1:22" ht="14.5" customHeight="1" x14ac:dyDescent="0.35">
      <c r="A4" s="300"/>
      <c r="B4" s="301"/>
      <c r="C4" s="301"/>
      <c r="D4" s="301"/>
      <c r="E4" s="301"/>
      <c r="F4" s="302"/>
      <c r="G4" s="212">
        <f ca="1">_xlfn.MINIFS(Tabela_Movimentacao[Vencimento Útil],Tabela_Movimentacao[Pagamento],"",Tabela_Movimentacao[Cancelar],"",Tabela_Movimentacao[Status],"&lt;&gt;"&amp;"Vencido",Tabela_Movimentacao[Vencimento Útil],"&lt;&gt;"&amp;G3)</f>
        <v>44411</v>
      </c>
      <c r="H4" s="211">
        <f ca="1">SUMIFS(Tabela_Movimentacao[Valor],Tabela_Movimentacao[Vencimento Útil],G4,Tabela_Movimentacao[Status],"&lt;&gt;"&amp;"Pago",Tabela_Movimentacao[Status],"&lt;&gt;"&amp;"Cancelado",Tabela_Movimentacao[Status],"&lt;&gt;"&amp;"Vencido",Tabela_Movimentacao[Tipo],"Despesa")</f>
        <v>190</v>
      </c>
      <c r="I4" s="212">
        <f ca="1">_xlfn.MINIFS(Tabela_Movimentacao[Vencimento Útil],Tabela_Movimentacao[Pagamento],"",Tabela_Movimentacao[Cancelar],"",Tabela_Movimentacao[Status],"&lt;&gt;"&amp;"Vencido",Tabela_Movimentacao[Vencimento Útil],"&lt;&gt;"&amp;G3)</f>
        <v>44411</v>
      </c>
      <c r="J4" s="211">
        <f ca="1">SUMIFS(Tabela_Movimentacao[Valor],Tabela_Movimentacao[Vencimento Útil],I4,Tabela_Movimentacao[Status],"&lt;&gt;"&amp;"Pago",Tabela_Movimentacao[Status],"&lt;&gt;"&amp;"Cancelado",Tabela_Movimentacao[Status],"&lt;&gt;"&amp;"Vencido",Tabela_Movimentacao[Tipo],"Receita")</f>
        <v>0</v>
      </c>
      <c r="K4" s="16"/>
    </row>
    <row r="5" spans="1:22" ht="14.5" customHeight="1" x14ac:dyDescent="0.35">
      <c r="A5" s="300"/>
      <c r="B5" s="301"/>
      <c r="C5" s="301"/>
      <c r="D5" s="301"/>
      <c r="E5" s="301"/>
      <c r="F5" s="302"/>
      <c r="G5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Útil],"&lt;&gt;"&amp;G4)</f>
        <v>44442</v>
      </c>
      <c r="H5" s="211">
        <f ca="1">SUMIFS(Tabela_Movimentacao[Valor],Tabela_Movimentacao[Vencimento Útil],G5,Tabela_Movimentacao[Status],"&lt;&gt;"&amp;"Pago",Tabela_Movimentacao[Status],"&lt;&gt;"&amp;"Cancelado",Tabela_Movimentacao[Status],"&lt;&gt;"&amp;"Vencido",Tabela_Movimentacao[Tipo],"Despesa")</f>
        <v>190</v>
      </c>
      <c r="I5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Útil],"&lt;&gt;"&amp;G4)</f>
        <v>44442</v>
      </c>
      <c r="J5" s="211">
        <f ca="1">SUMIFS(Tabela_Movimentacao[Valor],Tabela_Movimentacao[Vencimento Útil],I5,Tabela_Movimentacao[Status],"&lt;&gt;"&amp;"Pago",Tabela_Movimentacao[Status],"&lt;&gt;"&amp;"Cancelado",Tabela_Movimentacao[Status],"&lt;&gt;"&amp;"Vencido",Tabela_Movimentacao[Tipo],"Receita")</f>
        <v>0</v>
      </c>
      <c r="K5" s="16"/>
    </row>
    <row r="6" spans="1:22" ht="14.5" customHeight="1" x14ac:dyDescent="0.35">
      <c r="A6" s="303" t="s">
        <v>496</v>
      </c>
      <c r="B6" s="304"/>
      <c r="C6" s="304"/>
      <c r="D6" s="304"/>
      <c r="E6" s="304"/>
      <c r="F6" s="305"/>
      <c r="G6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Útil],"&lt;&gt;"&amp;G4,Tabela_Movimentacao[Vencimento Útil],"&lt;&gt;"&amp;G5)</f>
        <v>44473</v>
      </c>
      <c r="H6" s="211">
        <f ca="1">SUMIFS(Tabela_Movimentacao[Valor],Tabela_Movimentacao[Vencimento Útil],G6,Tabela_Movimentacao[Status],"&lt;&gt;"&amp;"Pago",Tabela_Movimentacao[Status],"&lt;&gt;"&amp;"Cancelado",Tabela_Movimentacao[Status],"&lt;&gt;"&amp;"Vencido",Tabela_Movimentacao[Tipo],"Despesa")</f>
        <v>190</v>
      </c>
      <c r="I6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Útil],"&lt;&gt;"&amp;G4,Tabela_Movimentacao[Vencimento Útil],"&lt;&gt;"&amp;G5)</f>
        <v>44473</v>
      </c>
      <c r="J6" s="211">
        <f ca="1">SUMIFS(Tabela_Movimentacao[Valor],Tabela_Movimentacao[Vencimento Útil],I6,Tabela_Movimentacao[Status],"&lt;&gt;"&amp;"Pago",Tabela_Movimentacao[Status],"&lt;&gt;"&amp;"Cancelado",Tabela_Movimentacao[Status],"&lt;&gt;"&amp;"Vencido",Tabela_Movimentacao[Tipo],"Receita")</f>
        <v>0</v>
      </c>
      <c r="K6" s="16"/>
    </row>
    <row r="7" spans="1:22" ht="14.5" customHeight="1" x14ac:dyDescent="0.35">
      <c r="A7" s="306"/>
      <c r="B7" s="307"/>
      <c r="C7" s="307"/>
      <c r="D7" s="307"/>
      <c r="E7" s="307"/>
      <c r="F7" s="308"/>
      <c r="G7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Útil],"&lt;&gt;"&amp;G4,Tabela_Movimentacao[Vencimento Útil],"&lt;&gt;"&amp;G5,Tabela_Movimentacao[Vencimento Útil],"&lt;&gt;"&amp;G6)</f>
        <v>44503</v>
      </c>
      <c r="H7" s="211">
        <f ca="1">SUMIFS(Tabela_Movimentacao[Valor],Tabela_Movimentacao[Vencimento Útil],G7,Tabela_Movimentacao[Status],"&lt;&gt;"&amp;"Pago",Tabela_Movimentacao[Status],"&lt;&gt;"&amp;"Cancelado",Tabela_Movimentacao[Status],"&lt;&gt;"&amp;"Vencido",Tabela_Movimentacao[Tipo],"Despesa")</f>
        <v>190</v>
      </c>
      <c r="I7" s="212">
        <f ca="1">_xlfn.MINIFS(Tabela_Movimentacao[Vencimento Útil],Tabela_Movimentacao[Pagamento],"",Tabela_Movimentacao[Cancelar],"",Tabela_Movimentacao[Status],"&lt;&gt;"&amp;"Vencido",Tabela_Movimentacao[Vencimento Útil],"&lt;&gt;"&amp;G3,Tabela_Movimentacao[Vencimento Útil],"&lt;&gt;"&amp;G4,Tabela_Movimentacao[Vencimento Útil],"&lt;&gt;"&amp;G5,Tabela_Movimentacao[Vencimento Útil],"&lt;&gt;"&amp;G6)</f>
        <v>44503</v>
      </c>
      <c r="J7" s="211">
        <f ca="1">SUMIFS(Tabela_Movimentacao[Valor],Tabela_Movimentacao[Vencimento Útil],I7,Tabela_Movimentacao[Status],"&lt;&gt;"&amp;"Pago",Tabela_Movimentacao[Status],"&lt;&gt;"&amp;"Cancelado",Tabela_Movimentacao[Status],"&lt;&gt;"&amp;"Vencido",Tabela_Movimentacao[Tipo],"Receita")</f>
        <v>0</v>
      </c>
      <c r="K7" s="16"/>
    </row>
    <row r="8" spans="1:22" ht="15" customHeight="1" thickBot="1" x14ac:dyDescent="0.4">
      <c r="A8" s="309"/>
      <c r="B8" s="310"/>
      <c r="C8" s="310"/>
      <c r="D8" s="310"/>
      <c r="E8" s="310"/>
      <c r="F8" s="311"/>
      <c r="G8" s="208" t="s">
        <v>71</v>
      </c>
      <c r="H8" s="209">
        <f ca="1">IF(SUMIFS(Tabela_Movimentacao[Valor],Tabela_Movimentacao[Status],"vencido")=0,"-",SUMIFS(Tabela_Movimentacao[Valor],Tabela_Movimentacao[Status],"vencido"))</f>
        <v>190</v>
      </c>
      <c r="I8" s="210" t="s">
        <v>71</v>
      </c>
      <c r="J8" s="209">
        <f ca="1">IF(SUMIFS(Tabela_Movimentacao[Valor],Tabela_Movimentacao[Status],"vencido")=0,"-",SUMIFS(Tabela_Movimentacao[Valor],Tabela_Movimentacao[Status],"vencido"))</f>
        <v>190</v>
      </c>
      <c r="K8" s="16"/>
    </row>
    <row r="9" spans="1:22" ht="19" customHeight="1" thickTop="1" x14ac:dyDescent="0.35">
      <c r="C9" s="16"/>
      <c r="J9" s="16"/>
      <c r="K9" s="16"/>
      <c r="P9" s="16"/>
    </row>
    <row r="10" spans="1:22" ht="35.5" customHeight="1" x14ac:dyDescent="0.35">
      <c r="A10" s="221" t="s">
        <v>4</v>
      </c>
      <c r="B10" s="221" t="s">
        <v>484</v>
      </c>
      <c r="C10" s="221" t="s">
        <v>61</v>
      </c>
      <c r="D10" s="221" t="s">
        <v>2</v>
      </c>
      <c r="E10" s="221" t="s">
        <v>33</v>
      </c>
      <c r="F10" s="221" t="s">
        <v>0</v>
      </c>
      <c r="G10" s="221" t="s">
        <v>319</v>
      </c>
      <c r="H10" s="221" t="s">
        <v>303</v>
      </c>
      <c r="I10" s="221" t="s">
        <v>306</v>
      </c>
      <c r="J10" s="221" t="s">
        <v>326</v>
      </c>
      <c r="K10" s="221" t="s">
        <v>3</v>
      </c>
      <c r="L10" s="221" t="s">
        <v>5</v>
      </c>
      <c r="M10" s="221" t="s">
        <v>51</v>
      </c>
      <c r="N10" s="221" t="s">
        <v>52</v>
      </c>
      <c r="O10" s="221" t="s">
        <v>54</v>
      </c>
      <c r="P10" s="221" t="s">
        <v>6</v>
      </c>
      <c r="Q10" s="221" t="s">
        <v>7</v>
      </c>
      <c r="R10" s="221" t="s">
        <v>163</v>
      </c>
      <c r="S10" s="221" t="s">
        <v>87</v>
      </c>
      <c r="T10" s="221" t="s">
        <v>486</v>
      </c>
      <c r="U10" s="221" t="s">
        <v>212</v>
      </c>
      <c r="V10" s="218" t="s">
        <v>110</v>
      </c>
    </row>
    <row r="11" spans="1:22" ht="35.5" hidden="1" customHeight="1" x14ac:dyDescent="0.35">
      <c r="A11" s="222" t="str">
        <f t="shared" ref="A11:A42" si="0">"E"&amp;ROW()-10</f>
        <v>E1</v>
      </c>
      <c r="B11" s="223" t="str">
        <f t="shared" ref="B11:B74" si="1">"FILE"</f>
        <v>FILE</v>
      </c>
      <c r="C11" s="224" t="s">
        <v>62</v>
      </c>
      <c r="D11" s="225" t="s">
        <v>104</v>
      </c>
      <c r="E11" s="226" t="s">
        <v>59</v>
      </c>
      <c r="F11" s="227" t="s">
        <v>66</v>
      </c>
      <c r="G11" s="228">
        <v>43957</v>
      </c>
      <c r="H11" s="229" t="s">
        <v>64</v>
      </c>
      <c r="I11" s="225" t="s">
        <v>222</v>
      </c>
      <c r="J11" s="225" t="s">
        <v>327</v>
      </c>
      <c r="K11" s="230">
        <v>40</v>
      </c>
      <c r="L11" s="228">
        <v>43957</v>
      </c>
      <c r="M11" s="229" t="s">
        <v>105</v>
      </c>
      <c r="N11" s="229"/>
      <c r="O11" s="228"/>
      <c r="P11" s="228">
        <v>43957</v>
      </c>
      <c r="Q1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43957</v>
      </c>
      <c r="S1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43952</v>
      </c>
      <c r="T1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40</v>
      </c>
      <c r="U11" s="235">
        <f ca="1">IF(OR(Tabela_Movimentacao[[#This Row],[Status]]="Em Aberto",Tabela_Movimentacao[[#This Row],[Status]]="Prorrogado"),Tabela_Movimentacao[[#This Row],[Valor]],0)</f>
        <v>0</v>
      </c>
      <c r="V11" s="219">
        <f ca="1">IF(Tabela_Movimentacao[[#This Row],[Status]]="Cancelado","",IF(Tabela_Movimentacao[[#This Row],[Status]]&lt;&gt;"Pago","",Tabela_Movimentacao[[#This Row],[Valor]]))</f>
        <v>40</v>
      </c>
    </row>
    <row r="12" spans="1:22" ht="35.5" hidden="1" customHeight="1" x14ac:dyDescent="0.35">
      <c r="A12" s="222" t="str">
        <f t="shared" si="0"/>
        <v>E2</v>
      </c>
      <c r="B12" s="223" t="str">
        <f t="shared" si="1"/>
        <v>FILE</v>
      </c>
      <c r="C12" s="224" t="s">
        <v>56</v>
      </c>
      <c r="D12" s="225" t="s">
        <v>12</v>
      </c>
      <c r="E12" s="226" t="s">
        <v>55</v>
      </c>
      <c r="F12" s="227" t="s">
        <v>73</v>
      </c>
      <c r="G12" s="228">
        <v>43957</v>
      </c>
      <c r="H12" s="229" t="s">
        <v>64</v>
      </c>
      <c r="I12" s="225" t="s">
        <v>68</v>
      </c>
      <c r="J12" s="225" t="s">
        <v>327</v>
      </c>
      <c r="K12" s="230">
        <v>40</v>
      </c>
      <c r="L12" s="228">
        <v>43957</v>
      </c>
      <c r="M12" s="229" t="s">
        <v>105</v>
      </c>
      <c r="N12" s="229"/>
      <c r="O12" s="228"/>
      <c r="P12" s="228">
        <v>43957</v>
      </c>
      <c r="Q1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43957</v>
      </c>
      <c r="S12" s="236">
        <f>IF(DATE(YEAR(Tabela_Movimentacao[[#This Row],[Pagamento]]),MONTH(Tabela_Movimentacao[[#This Row],[Pagamento]]),1)=1,"Provisionado",DATE(YEAR(Tabela_Movimentacao[[#This Row],[Pagamento]]),MONTH(Tabela_Movimentacao[[#This Row],[Pagamento]]),1))</f>
        <v>43952</v>
      </c>
      <c r="T1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-40</v>
      </c>
      <c r="U12" s="235">
        <f ca="1">IF(OR(Tabela_Movimentacao[[#This Row],[Status]]="Em Aberto",Tabela_Movimentacao[[#This Row],[Status]]="Prorrogado"),Tabela_Movimentacao[[#This Row],[Valor]],0)</f>
        <v>0</v>
      </c>
      <c r="V12" s="219">
        <f ca="1">IF(Tabela_Movimentacao[[#This Row],[Status]]="Cancelado","",IF(Tabela_Movimentacao[[#This Row],[Status]]&lt;&gt;"Pago","",Tabela_Movimentacao[[#This Row],[Valor]]))</f>
        <v>40</v>
      </c>
    </row>
    <row r="13" spans="1:22" ht="35.5" hidden="1" customHeight="1" x14ac:dyDescent="0.35">
      <c r="A13" s="222" t="str">
        <f t="shared" si="0"/>
        <v>E3</v>
      </c>
      <c r="B13" s="223" t="str">
        <f t="shared" si="1"/>
        <v>FILE</v>
      </c>
      <c r="C13" s="224" t="s">
        <v>62</v>
      </c>
      <c r="D13" s="225" t="s">
        <v>104</v>
      </c>
      <c r="E13" s="226" t="s">
        <v>59</v>
      </c>
      <c r="F13" s="227" t="s">
        <v>69</v>
      </c>
      <c r="G13" s="228">
        <v>44053</v>
      </c>
      <c r="H13" s="229" t="s">
        <v>64</v>
      </c>
      <c r="I13" s="225" t="s">
        <v>222</v>
      </c>
      <c r="J13" s="225" t="s">
        <v>327</v>
      </c>
      <c r="K13" s="230">
        <v>142</v>
      </c>
      <c r="L13" s="228">
        <v>44053</v>
      </c>
      <c r="M13" s="229" t="s">
        <v>105</v>
      </c>
      <c r="N13" s="229"/>
      <c r="O13" s="228"/>
      <c r="P13" s="228">
        <v>44053</v>
      </c>
      <c r="Q1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44053</v>
      </c>
      <c r="S1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142</v>
      </c>
      <c r="U13" s="235">
        <f ca="1">IF(OR(Tabela_Movimentacao[[#This Row],[Status]]="Em Aberto",Tabela_Movimentacao[[#This Row],[Status]]="Prorrogado"),Tabela_Movimentacao[[#This Row],[Valor]],0)</f>
        <v>0</v>
      </c>
      <c r="V13" s="219">
        <f ca="1">IF(Tabela_Movimentacao[[#This Row],[Status]]="Cancelado","",IF(Tabela_Movimentacao[[#This Row],[Status]]&lt;&gt;"Pago","",Tabela_Movimentacao[[#This Row],[Valor]]))</f>
        <v>142</v>
      </c>
    </row>
    <row r="14" spans="1:22" ht="35.5" hidden="1" customHeight="1" x14ac:dyDescent="0.35">
      <c r="A14" s="222" t="str">
        <f t="shared" si="0"/>
        <v>E4</v>
      </c>
      <c r="B14" s="223" t="str">
        <f t="shared" si="1"/>
        <v>FILE</v>
      </c>
      <c r="C14" s="224" t="s">
        <v>56</v>
      </c>
      <c r="D14" s="225" t="s">
        <v>12</v>
      </c>
      <c r="E14" s="226" t="s">
        <v>55</v>
      </c>
      <c r="F14" s="227" t="s">
        <v>69</v>
      </c>
      <c r="G14" s="228">
        <v>44053</v>
      </c>
      <c r="H14" s="229" t="s">
        <v>64</v>
      </c>
      <c r="I14" s="225" t="s">
        <v>67</v>
      </c>
      <c r="J14" s="225" t="s">
        <v>327</v>
      </c>
      <c r="K14" s="230">
        <v>142</v>
      </c>
      <c r="L14" s="228">
        <v>44053</v>
      </c>
      <c r="M14" s="229" t="s">
        <v>105</v>
      </c>
      <c r="N14" s="229"/>
      <c r="O14" s="228"/>
      <c r="P14" s="228">
        <v>44053</v>
      </c>
      <c r="Q1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44053</v>
      </c>
      <c r="S1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-142</v>
      </c>
      <c r="U14" s="235">
        <f ca="1">IF(OR(Tabela_Movimentacao[[#This Row],[Status]]="Em Aberto",Tabela_Movimentacao[[#This Row],[Status]]="Prorrogado"),Tabela_Movimentacao[[#This Row],[Valor]],0)</f>
        <v>0</v>
      </c>
      <c r="V14" s="219">
        <f ca="1">IF(Tabela_Movimentacao[[#This Row],[Status]]="Cancelado","",IF(Tabela_Movimentacao[[#This Row],[Status]]&lt;&gt;"Pago","",Tabela_Movimentacao[[#This Row],[Valor]]))</f>
        <v>142</v>
      </c>
    </row>
    <row r="15" spans="1:22" ht="35.5" hidden="1" customHeight="1" x14ac:dyDescent="0.35">
      <c r="A15" s="222" t="str">
        <f t="shared" si="0"/>
        <v>E5</v>
      </c>
      <c r="B15" s="223" t="str">
        <f t="shared" si="1"/>
        <v>FILE</v>
      </c>
      <c r="C15" s="224" t="s">
        <v>62</v>
      </c>
      <c r="D15" s="225" t="s">
        <v>104</v>
      </c>
      <c r="E15" s="226" t="s">
        <v>59</v>
      </c>
      <c r="F15" s="227" t="s">
        <v>165</v>
      </c>
      <c r="G15" s="228">
        <v>44067</v>
      </c>
      <c r="H15" s="229" t="s">
        <v>64</v>
      </c>
      <c r="I15" s="225" t="s">
        <v>222</v>
      </c>
      <c r="J15" s="225" t="s">
        <v>327</v>
      </c>
      <c r="K15" s="230">
        <v>31.4</v>
      </c>
      <c r="L15" s="228">
        <v>44067</v>
      </c>
      <c r="M15" s="229" t="s">
        <v>44</v>
      </c>
      <c r="N15" s="229"/>
      <c r="O15" s="228"/>
      <c r="P15" s="228">
        <v>44067</v>
      </c>
      <c r="Q1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44067</v>
      </c>
      <c r="S1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31.4</v>
      </c>
      <c r="U15" s="235">
        <f ca="1">IF(OR(Tabela_Movimentacao[[#This Row],[Status]]="Em Aberto",Tabela_Movimentacao[[#This Row],[Status]]="Prorrogado"),Tabela_Movimentacao[[#This Row],[Valor]],0)</f>
        <v>0</v>
      </c>
      <c r="V15" s="219">
        <f ca="1">IF(Tabela_Movimentacao[[#This Row],[Status]]="Cancelado","",IF(Tabela_Movimentacao[[#This Row],[Status]]&lt;&gt;"Pago","",Tabela_Movimentacao[[#This Row],[Valor]]))</f>
        <v>31.4</v>
      </c>
    </row>
    <row r="16" spans="1:22" ht="35.5" hidden="1" customHeight="1" x14ac:dyDescent="0.35">
      <c r="A16" s="222" t="str">
        <f t="shared" si="0"/>
        <v>E6</v>
      </c>
      <c r="B16" s="223" t="str">
        <f t="shared" si="1"/>
        <v>FILE</v>
      </c>
      <c r="C16" s="224" t="s">
        <v>56</v>
      </c>
      <c r="D16" s="225" t="s">
        <v>12</v>
      </c>
      <c r="E16" s="226" t="s">
        <v>178</v>
      </c>
      <c r="F16" s="227" t="s">
        <v>167</v>
      </c>
      <c r="G16" s="228">
        <v>44067</v>
      </c>
      <c r="H16" s="229" t="s">
        <v>64</v>
      </c>
      <c r="I16" s="225" t="s">
        <v>166</v>
      </c>
      <c r="J16" s="225" t="s">
        <v>327</v>
      </c>
      <c r="K16" s="230">
        <v>31.4</v>
      </c>
      <c r="L16" s="228">
        <v>44067</v>
      </c>
      <c r="M16" s="229" t="s">
        <v>44</v>
      </c>
      <c r="N16" s="229"/>
      <c r="O16" s="228"/>
      <c r="P16" s="228">
        <v>44067</v>
      </c>
      <c r="Q1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44067</v>
      </c>
      <c r="S1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-31.4</v>
      </c>
      <c r="U16" s="235">
        <f ca="1">IF(OR(Tabela_Movimentacao[[#This Row],[Status]]="Em Aberto",Tabela_Movimentacao[[#This Row],[Status]]="Prorrogado"),Tabela_Movimentacao[[#This Row],[Valor]],0)</f>
        <v>0</v>
      </c>
      <c r="V16" s="219">
        <f ca="1">IF(Tabela_Movimentacao[[#This Row],[Status]]="Cancelado","",IF(Tabela_Movimentacao[[#This Row],[Status]]&lt;&gt;"Pago","",Tabela_Movimentacao[[#This Row],[Valor]]))</f>
        <v>31.4</v>
      </c>
    </row>
    <row r="17" spans="1:22" ht="35.5" hidden="1" customHeight="1" x14ac:dyDescent="0.35">
      <c r="A17" s="222" t="str">
        <f t="shared" si="0"/>
        <v>E7</v>
      </c>
      <c r="B17" s="223" t="str">
        <f t="shared" si="1"/>
        <v>FILE</v>
      </c>
      <c r="C17" s="224" t="s">
        <v>62</v>
      </c>
      <c r="D17" s="225" t="s">
        <v>104</v>
      </c>
      <c r="E17" s="226" t="s">
        <v>59</v>
      </c>
      <c r="F17" s="227" t="s">
        <v>168</v>
      </c>
      <c r="G17" s="228">
        <v>44070</v>
      </c>
      <c r="H17" s="229" t="s">
        <v>64</v>
      </c>
      <c r="I17" s="225" t="s">
        <v>222</v>
      </c>
      <c r="J17" s="225" t="s">
        <v>327</v>
      </c>
      <c r="K17" s="230">
        <v>69.989999999999995</v>
      </c>
      <c r="L17" s="228">
        <v>44070</v>
      </c>
      <c r="M17" s="229" t="s">
        <v>44</v>
      </c>
      <c r="N17" s="229"/>
      <c r="O17" s="228"/>
      <c r="P17" s="228">
        <v>44070</v>
      </c>
      <c r="Q1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44070</v>
      </c>
      <c r="S1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69.989999999999995</v>
      </c>
      <c r="U17" s="235">
        <f ca="1">IF(OR(Tabela_Movimentacao[[#This Row],[Status]]="Em Aberto",Tabela_Movimentacao[[#This Row],[Status]]="Prorrogado"),Tabela_Movimentacao[[#This Row],[Valor]],0)</f>
        <v>0</v>
      </c>
      <c r="V17" s="219">
        <f ca="1">IF(Tabela_Movimentacao[[#This Row],[Status]]="Cancelado","",IF(Tabela_Movimentacao[[#This Row],[Status]]&lt;&gt;"Pago","",Tabela_Movimentacao[[#This Row],[Valor]]))</f>
        <v>69.989999999999995</v>
      </c>
    </row>
    <row r="18" spans="1:22" ht="35.5" hidden="1" customHeight="1" x14ac:dyDescent="0.35">
      <c r="A18" s="222" t="str">
        <f t="shared" si="0"/>
        <v>E8</v>
      </c>
      <c r="B18" s="223" t="str">
        <f t="shared" si="1"/>
        <v>FILE</v>
      </c>
      <c r="C18" s="224" t="s">
        <v>56</v>
      </c>
      <c r="D18" s="225" t="s">
        <v>12</v>
      </c>
      <c r="E18" s="226" t="s">
        <v>55</v>
      </c>
      <c r="F18" s="227" t="s">
        <v>168</v>
      </c>
      <c r="G18" s="228">
        <v>44070</v>
      </c>
      <c r="H18" s="229" t="s">
        <v>64</v>
      </c>
      <c r="I18" s="225" t="s">
        <v>169</v>
      </c>
      <c r="J18" s="225" t="s">
        <v>327</v>
      </c>
      <c r="K18" s="230">
        <v>69.989999999999995</v>
      </c>
      <c r="L18" s="228">
        <v>44070</v>
      </c>
      <c r="M18" s="229" t="s">
        <v>44</v>
      </c>
      <c r="N18" s="229"/>
      <c r="O18" s="228"/>
      <c r="P18" s="228">
        <v>44070</v>
      </c>
      <c r="Q1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44070</v>
      </c>
      <c r="S1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44044</v>
      </c>
      <c r="T1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-69.989999999999995</v>
      </c>
      <c r="U18" s="235">
        <f ca="1">IF(OR(Tabela_Movimentacao[[#This Row],[Status]]="Em Aberto",Tabela_Movimentacao[[#This Row],[Status]]="Prorrogado"),Tabela_Movimentacao[[#This Row],[Valor]],0)</f>
        <v>0</v>
      </c>
      <c r="V18" s="219">
        <f ca="1">IF(Tabela_Movimentacao[[#This Row],[Status]]="Cancelado","",IF(Tabela_Movimentacao[[#This Row],[Status]]&lt;&gt;"Pago","",Tabela_Movimentacao[[#This Row],[Valor]]))</f>
        <v>69.989999999999995</v>
      </c>
    </row>
    <row r="19" spans="1:22" ht="35.5" hidden="1" customHeight="1" x14ac:dyDescent="0.35">
      <c r="A19" s="222" t="str">
        <f t="shared" si="0"/>
        <v>E9</v>
      </c>
      <c r="B19" s="223" t="str">
        <f t="shared" si="1"/>
        <v>FILE</v>
      </c>
      <c r="C19" s="224" t="s">
        <v>56</v>
      </c>
      <c r="D19" s="225" t="s">
        <v>49</v>
      </c>
      <c r="E19" s="226" t="s">
        <v>50</v>
      </c>
      <c r="F19" s="227" t="s">
        <v>170</v>
      </c>
      <c r="G19" s="228">
        <v>44076</v>
      </c>
      <c r="H19" s="229" t="s">
        <v>65</v>
      </c>
      <c r="I19" s="225" t="s">
        <v>171</v>
      </c>
      <c r="J19" s="225" t="s">
        <v>327</v>
      </c>
      <c r="K19" s="230">
        <v>1300</v>
      </c>
      <c r="L19" s="228">
        <v>44076</v>
      </c>
      <c r="M19" s="229" t="s">
        <v>47</v>
      </c>
      <c r="N19" s="229"/>
      <c r="O19" s="228"/>
      <c r="P19" s="228">
        <v>44076</v>
      </c>
      <c r="Q1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44076</v>
      </c>
      <c r="S1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1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-1300</v>
      </c>
      <c r="U19" s="235">
        <f ca="1">IF(OR(Tabela_Movimentacao[[#This Row],[Status]]="Em Aberto",Tabela_Movimentacao[[#This Row],[Status]]="Prorrogado"),Tabela_Movimentacao[[#This Row],[Valor]],0)</f>
        <v>0</v>
      </c>
      <c r="V19" s="219">
        <f ca="1">IF(Tabela_Movimentacao[[#This Row],[Status]]="Cancelado","",IF(Tabela_Movimentacao[[#This Row],[Status]]&lt;&gt;"Pago","",Tabela_Movimentacao[[#This Row],[Valor]]))</f>
        <v>1300</v>
      </c>
    </row>
    <row r="20" spans="1:22" ht="35.5" hidden="1" customHeight="1" x14ac:dyDescent="0.35">
      <c r="A20" s="222" t="str">
        <f t="shared" si="0"/>
        <v>E10</v>
      </c>
      <c r="B20" s="223" t="str">
        <f t="shared" si="1"/>
        <v>FILE</v>
      </c>
      <c r="C20" s="224" t="s">
        <v>62</v>
      </c>
      <c r="D20" s="225" t="s">
        <v>104</v>
      </c>
      <c r="E20" s="226" t="s">
        <v>59</v>
      </c>
      <c r="F20" s="227" t="s">
        <v>170</v>
      </c>
      <c r="G20" s="228">
        <v>44076</v>
      </c>
      <c r="H20" s="229" t="s">
        <v>65</v>
      </c>
      <c r="I20" s="225" t="s">
        <v>222</v>
      </c>
      <c r="J20" s="225" t="s">
        <v>327</v>
      </c>
      <c r="K20" s="230">
        <v>1300</v>
      </c>
      <c r="L20" s="228">
        <v>44076</v>
      </c>
      <c r="M20" s="229" t="s">
        <v>47</v>
      </c>
      <c r="N20" s="229"/>
      <c r="O20" s="228"/>
      <c r="P20" s="228">
        <v>44076</v>
      </c>
      <c r="Q2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44076</v>
      </c>
      <c r="S2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2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1300</v>
      </c>
      <c r="U20" s="235">
        <f ca="1">IF(OR(Tabela_Movimentacao[[#This Row],[Status]]="Em Aberto",Tabela_Movimentacao[[#This Row],[Status]]="Prorrogado"),Tabela_Movimentacao[[#This Row],[Valor]],0)</f>
        <v>0</v>
      </c>
      <c r="V20" s="219">
        <f ca="1">IF(Tabela_Movimentacao[[#This Row],[Status]]="Cancelado","",IF(Tabela_Movimentacao[[#This Row],[Status]]&lt;&gt;"Pago","",Tabela_Movimentacao[[#This Row],[Valor]]))</f>
        <v>1300</v>
      </c>
    </row>
    <row r="21" spans="1:22" ht="35.5" hidden="1" customHeight="1" x14ac:dyDescent="0.35">
      <c r="A21" s="222" t="str">
        <f t="shared" si="0"/>
        <v>E11</v>
      </c>
      <c r="B21" s="223" t="str">
        <f t="shared" si="1"/>
        <v>FILE</v>
      </c>
      <c r="C21" s="224" t="s">
        <v>62</v>
      </c>
      <c r="D21" s="225" t="s">
        <v>104</v>
      </c>
      <c r="E21" s="226" t="s">
        <v>59</v>
      </c>
      <c r="F21" s="227" t="s">
        <v>172</v>
      </c>
      <c r="G21" s="228">
        <v>44084</v>
      </c>
      <c r="H21" s="229" t="s">
        <v>64</v>
      </c>
      <c r="I21" s="225" t="s">
        <v>222</v>
      </c>
      <c r="J21" s="225" t="s">
        <v>327</v>
      </c>
      <c r="K21" s="230">
        <v>939.21</v>
      </c>
      <c r="L21" s="228">
        <v>44084</v>
      </c>
      <c r="M21" s="229" t="s">
        <v>47</v>
      </c>
      <c r="N21" s="229"/>
      <c r="O21" s="228"/>
      <c r="P21" s="228">
        <v>44084</v>
      </c>
      <c r="Q2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44084</v>
      </c>
      <c r="S2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2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939.21</v>
      </c>
      <c r="U21" s="235">
        <f ca="1">IF(OR(Tabela_Movimentacao[[#This Row],[Status]]="Em Aberto",Tabela_Movimentacao[[#This Row],[Status]]="Prorrogado"),Tabela_Movimentacao[[#This Row],[Valor]],0)</f>
        <v>0</v>
      </c>
      <c r="V21" s="219">
        <f ca="1">IF(Tabela_Movimentacao[[#This Row],[Status]]="Cancelado","",IF(Tabela_Movimentacao[[#This Row],[Status]]&lt;&gt;"Pago","",Tabela_Movimentacao[[#This Row],[Valor]]))</f>
        <v>939.21</v>
      </c>
    </row>
    <row r="22" spans="1:22" ht="35.5" hidden="1" customHeight="1" x14ac:dyDescent="0.35">
      <c r="A22" s="222" t="str">
        <f t="shared" si="0"/>
        <v>E12</v>
      </c>
      <c r="B22" s="223" t="str">
        <f t="shared" si="1"/>
        <v>FILE</v>
      </c>
      <c r="C22" s="224" t="s">
        <v>56</v>
      </c>
      <c r="D22" s="225" t="s">
        <v>13</v>
      </c>
      <c r="E22" s="226" t="s">
        <v>16</v>
      </c>
      <c r="F22" s="227" t="s">
        <v>172</v>
      </c>
      <c r="G22" s="228">
        <v>44084</v>
      </c>
      <c r="H22" s="229" t="s">
        <v>64</v>
      </c>
      <c r="I22" s="225" t="s">
        <v>173</v>
      </c>
      <c r="J22" s="225" t="s">
        <v>327</v>
      </c>
      <c r="K22" s="230">
        <v>939.21</v>
      </c>
      <c r="L22" s="228">
        <v>44084</v>
      </c>
      <c r="M22" s="229" t="s">
        <v>105</v>
      </c>
      <c r="N22" s="229"/>
      <c r="O22" s="228"/>
      <c r="P22" s="228">
        <v>44084</v>
      </c>
      <c r="Q2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44084</v>
      </c>
      <c r="S2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2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-939.21</v>
      </c>
      <c r="U22" s="235">
        <f ca="1">IF(OR(Tabela_Movimentacao[[#This Row],[Status]]="Em Aberto",Tabela_Movimentacao[[#This Row],[Status]]="Prorrogado"),Tabela_Movimentacao[[#This Row],[Valor]],0)</f>
        <v>0</v>
      </c>
      <c r="V22" s="219">
        <f ca="1">IF(Tabela_Movimentacao[[#This Row],[Status]]="Cancelado","",IF(Tabela_Movimentacao[[#This Row],[Status]]&lt;&gt;"Pago","",Tabela_Movimentacao[[#This Row],[Valor]]))</f>
        <v>939.21</v>
      </c>
    </row>
    <row r="23" spans="1:22" ht="35.5" hidden="1" customHeight="1" x14ac:dyDescent="0.35">
      <c r="A23" s="222" t="str">
        <f t="shared" si="0"/>
        <v>E13</v>
      </c>
      <c r="B23" s="223" t="str">
        <f t="shared" si="1"/>
        <v>FILE</v>
      </c>
      <c r="C23" s="224" t="s">
        <v>62</v>
      </c>
      <c r="D23" s="225" t="s">
        <v>104</v>
      </c>
      <c r="E23" s="226" t="s">
        <v>59</v>
      </c>
      <c r="F23" s="227" t="s">
        <v>183</v>
      </c>
      <c r="G23" s="228">
        <v>44104</v>
      </c>
      <c r="H23" s="229" t="s">
        <v>64</v>
      </c>
      <c r="I23" s="225" t="s">
        <v>222</v>
      </c>
      <c r="J23" s="225" t="s">
        <v>327</v>
      </c>
      <c r="K23" s="230">
        <v>2934.28</v>
      </c>
      <c r="L23" s="228">
        <v>44104</v>
      </c>
      <c r="M23" s="229" t="s">
        <v>47</v>
      </c>
      <c r="N23" s="229"/>
      <c r="O23" s="228"/>
      <c r="P23" s="228">
        <v>44104</v>
      </c>
      <c r="Q2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44104</v>
      </c>
      <c r="S2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2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2934.28</v>
      </c>
      <c r="U23" s="235">
        <f ca="1">IF(OR(Tabela_Movimentacao[[#This Row],[Status]]="Em Aberto",Tabela_Movimentacao[[#This Row],[Status]]="Prorrogado"),Tabela_Movimentacao[[#This Row],[Valor]],0)</f>
        <v>0</v>
      </c>
      <c r="V23" s="219">
        <f ca="1">IF(Tabela_Movimentacao[[#This Row],[Status]]="Cancelado","",IF(Tabela_Movimentacao[[#This Row],[Status]]&lt;&gt;"Pago","",Tabela_Movimentacao[[#This Row],[Valor]]))</f>
        <v>2934.28</v>
      </c>
    </row>
    <row r="24" spans="1:22" ht="35.5" hidden="1" customHeight="1" x14ac:dyDescent="0.35">
      <c r="A24" s="222" t="str">
        <f t="shared" si="0"/>
        <v>E14</v>
      </c>
      <c r="B24" s="223" t="str">
        <f t="shared" si="1"/>
        <v>FILE</v>
      </c>
      <c r="C24" s="224" t="s">
        <v>56</v>
      </c>
      <c r="D24" s="225" t="s">
        <v>49</v>
      </c>
      <c r="E24" s="226" t="s">
        <v>48</v>
      </c>
      <c r="F24" s="227" t="s">
        <v>183</v>
      </c>
      <c r="G24" s="228">
        <v>44104</v>
      </c>
      <c r="H24" s="229" t="s">
        <v>64</v>
      </c>
      <c r="I24" s="225" t="s">
        <v>329</v>
      </c>
      <c r="J24" s="225" t="s">
        <v>327</v>
      </c>
      <c r="K24" s="230">
        <v>2934.28</v>
      </c>
      <c r="L24" s="228">
        <v>44104</v>
      </c>
      <c r="M24" s="229" t="s">
        <v>47</v>
      </c>
      <c r="N24" s="229"/>
      <c r="O24" s="228"/>
      <c r="P24" s="228">
        <v>44104</v>
      </c>
      <c r="Q2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44104</v>
      </c>
      <c r="S2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44075</v>
      </c>
      <c r="T2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-2934.28</v>
      </c>
      <c r="U24" s="235">
        <f ca="1">IF(OR(Tabela_Movimentacao[[#This Row],[Status]]="Em Aberto",Tabela_Movimentacao[[#This Row],[Status]]="Prorrogado"),Tabela_Movimentacao[[#This Row],[Valor]],0)</f>
        <v>0</v>
      </c>
      <c r="V24" s="219">
        <f ca="1">IF(Tabela_Movimentacao[[#This Row],[Status]]="Cancelado","",IF(Tabela_Movimentacao[[#This Row],[Status]]&lt;&gt;"Pago","",Tabela_Movimentacao[[#This Row],[Valor]]))</f>
        <v>2934.28</v>
      </c>
    </row>
    <row r="25" spans="1:22" ht="35.5" hidden="1" customHeight="1" x14ac:dyDescent="0.35">
      <c r="A25" s="222" t="str">
        <f t="shared" si="0"/>
        <v>E15</v>
      </c>
      <c r="B25" s="223" t="str">
        <f t="shared" si="1"/>
        <v>FILE</v>
      </c>
      <c r="C25" s="224" t="s">
        <v>62</v>
      </c>
      <c r="D25" s="225" t="s">
        <v>104</v>
      </c>
      <c r="E25" s="226" t="s">
        <v>59</v>
      </c>
      <c r="F25" s="227" t="s">
        <v>184</v>
      </c>
      <c r="G25" s="228">
        <v>44106</v>
      </c>
      <c r="H25" s="229" t="s">
        <v>63</v>
      </c>
      <c r="I25" s="225" t="s">
        <v>222</v>
      </c>
      <c r="J25" s="225" t="s">
        <v>327</v>
      </c>
      <c r="K25" s="230">
        <v>1177.8800000000001</v>
      </c>
      <c r="L25" s="228">
        <v>44106</v>
      </c>
      <c r="M25" s="229" t="s">
        <v>47</v>
      </c>
      <c r="N25" s="229"/>
      <c r="O25" s="228"/>
      <c r="P25" s="228">
        <v>44106</v>
      </c>
      <c r="Q2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44106</v>
      </c>
      <c r="S2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2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1177.8800000000001</v>
      </c>
      <c r="U25" s="235">
        <f ca="1">IF(OR(Tabela_Movimentacao[[#This Row],[Status]]="Em Aberto",Tabela_Movimentacao[[#This Row],[Status]]="Prorrogado"),Tabela_Movimentacao[[#This Row],[Valor]],0)</f>
        <v>0</v>
      </c>
      <c r="V25" s="219">
        <f ca="1">IF(Tabela_Movimentacao[[#This Row],[Status]]="Cancelado","",IF(Tabela_Movimentacao[[#This Row],[Status]]&lt;&gt;"Pago","",Tabela_Movimentacao[[#This Row],[Valor]]))</f>
        <v>1177.8800000000001</v>
      </c>
    </row>
    <row r="26" spans="1:22" ht="35.5" hidden="1" customHeight="1" x14ac:dyDescent="0.35">
      <c r="A26" s="222" t="str">
        <f t="shared" si="0"/>
        <v>E16</v>
      </c>
      <c r="B26" s="223" t="str">
        <f t="shared" si="1"/>
        <v>FILE</v>
      </c>
      <c r="C26" s="224" t="s">
        <v>62</v>
      </c>
      <c r="D26" s="225" t="s">
        <v>104</v>
      </c>
      <c r="E26" s="226" t="s">
        <v>59</v>
      </c>
      <c r="F26" s="227" t="s">
        <v>184</v>
      </c>
      <c r="G26" s="228">
        <v>44106</v>
      </c>
      <c r="H26" s="229" t="s">
        <v>65</v>
      </c>
      <c r="I26" s="225" t="s">
        <v>222</v>
      </c>
      <c r="J26" s="225" t="s">
        <v>327</v>
      </c>
      <c r="K26" s="230">
        <v>1177.8800000000001</v>
      </c>
      <c r="L26" s="228">
        <v>44106</v>
      </c>
      <c r="M26" s="229" t="s">
        <v>47</v>
      </c>
      <c r="N26" s="229"/>
      <c r="O26" s="228"/>
      <c r="P26" s="228">
        <v>44106</v>
      </c>
      <c r="Q2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44106</v>
      </c>
      <c r="S2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2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1177.8800000000001</v>
      </c>
      <c r="U26" s="235">
        <f ca="1">IF(OR(Tabela_Movimentacao[[#This Row],[Status]]="Em Aberto",Tabela_Movimentacao[[#This Row],[Status]]="Prorrogado"),Tabela_Movimentacao[[#This Row],[Valor]],0)</f>
        <v>0</v>
      </c>
      <c r="V26" s="219">
        <f ca="1">IF(Tabela_Movimentacao[[#This Row],[Status]]="Cancelado","",IF(Tabela_Movimentacao[[#This Row],[Status]]&lt;&gt;"Pago","",Tabela_Movimentacao[[#This Row],[Valor]]))</f>
        <v>1177.8800000000001</v>
      </c>
    </row>
    <row r="27" spans="1:22" ht="35.5" hidden="1" customHeight="1" x14ac:dyDescent="0.35">
      <c r="A27" s="222" t="str">
        <f t="shared" si="0"/>
        <v>E17</v>
      </c>
      <c r="B27" s="223" t="str">
        <f t="shared" si="1"/>
        <v>FILE</v>
      </c>
      <c r="C27" s="224" t="s">
        <v>56</v>
      </c>
      <c r="D27" s="225" t="s">
        <v>49</v>
      </c>
      <c r="E27" s="226" t="s">
        <v>50</v>
      </c>
      <c r="F27" s="227" t="s">
        <v>184</v>
      </c>
      <c r="G27" s="228">
        <v>44106</v>
      </c>
      <c r="H27" s="229" t="s">
        <v>63</v>
      </c>
      <c r="I27" s="225" t="s">
        <v>329</v>
      </c>
      <c r="J27" s="225" t="s">
        <v>327</v>
      </c>
      <c r="K27" s="230">
        <v>1177.8800000000001</v>
      </c>
      <c r="L27" s="228">
        <v>44106</v>
      </c>
      <c r="M27" s="229" t="s">
        <v>47</v>
      </c>
      <c r="N27" s="229"/>
      <c r="O27" s="228"/>
      <c r="P27" s="228">
        <v>44106</v>
      </c>
      <c r="Q2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44106</v>
      </c>
      <c r="S2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2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-1177.8800000000001</v>
      </c>
      <c r="U27" s="235">
        <f ca="1">IF(OR(Tabela_Movimentacao[[#This Row],[Status]]="Em Aberto",Tabela_Movimentacao[[#This Row],[Status]]="Prorrogado"),Tabela_Movimentacao[[#This Row],[Valor]],0)</f>
        <v>0</v>
      </c>
      <c r="V27" s="219">
        <f ca="1">IF(Tabela_Movimentacao[[#This Row],[Status]]="Cancelado","",IF(Tabela_Movimentacao[[#This Row],[Status]]&lt;&gt;"Pago","",Tabela_Movimentacao[[#This Row],[Valor]]))</f>
        <v>1177.8800000000001</v>
      </c>
    </row>
    <row r="28" spans="1:22" ht="35.5" hidden="1" customHeight="1" x14ac:dyDescent="0.35">
      <c r="A28" s="222" t="str">
        <f t="shared" si="0"/>
        <v>E18</v>
      </c>
      <c r="B28" s="223" t="str">
        <f t="shared" si="1"/>
        <v>FILE</v>
      </c>
      <c r="C28" s="224" t="s">
        <v>56</v>
      </c>
      <c r="D28" s="225" t="s">
        <v>49</v>
      </c>
      <c r="E28" s="226" t="s">
        <v>50</v>
      </c>
      <c r="F28" s="227" t="s">
        <v>184</v>
      </c>
      <c r="G28" s="228">
        <v>44106</v>
      </c>
      <c r="H28" s="229" t="s">
        <v>65</v>
      </c>
      <c r="I28" s="225" t="s">
        <v>329</v>
      </c>
      <c r="J28" s="225" t="s">
        <v>327</v>
      </c>
      <c r="K28" s="230">
        <v>1177.8800000000001</v>
      </c>
      <c r="L28" s="228">
        <v>44106</v>
      </c>
      <c r="M28" s="229" t="s">
        <v>47</v>
      </c>
      <c r="N28" s="229"/>
      <c r="O28" s="228"/>
      <c r="P28" s="228">
        <v>44106</v>
      </c>
      <c r="Q2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44106</v>
      </c>
      <c r="S2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2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-1177.8800000000001</v>
      </c>
      <c r="U28" s="235">
        <f ca="1">IF(OR(Tabela_Movimentacao[[#This Row],[Status]]="Em Aberto",Tabela_Movimentacao[[#This Row],[Status]]="Prorrogado"),Tabela_Movimentacao[[#This Row],[Valor]],0)</f>
        <v>0</v>
      </c>
      <c r="V28" s="219">
        <f ca="1">IF(Tabela_Movimentacao[[#This Row],[Status]]="Cancelado","",IF(Tabela_Movimentacao[[#This Row],[Status]]&lt;&gt;"Pago","",Tabela_Movimentacao[[#This Row],[Valor]]))</f>
        <v>1177.8800000000001</v>
      </c>
    </row>
    <row r="29" spans="1:22" ht="35.5" hidden="1" customHeight="1" x14ac:dyDescent="0.35">
      <c r="A29" s="222" t="str">
        <f t="shared" si="0"/>
        <v>E19</v>
      </c>
      <c r="B29" s="223" t="str">
        <f t="shared" si="1"/>
        <v>FILE</v>
      </c>
      <c r="C29" s="224" t="s">
        <v>56</v>
      </c>
      <c r="D29" s="225" t="s">
        <v>49</v>
      </c>
      <c r="E29" s="226" t="s">
        <v>50</v>
      </c>
      <c r="F29" s="227" t="s">
        <v>211</v>
      </c>
      <c r="G29" s="228">
        <v>44113</v>
      </c>
      <c r="H29" s="229" t="s">
        <v>63</v>
      </c>
      <c r="I29" s="225" t="s">
        <v>329</v>
      </c>
      <c r="J29" s="225" t="s">
        <v>327</v>
      </c>
      <c r="K29" s="230">
        <v>1910</v>
      </c>
      <c r="L29" s="228">
        <v>44117</v>
      </c>
      <c r="M29" s="229" t="s">
        <v>47</v>
      </c>
      <c r="N29" s="229"/>
      <c r="O29" s="228"/>
      <c r="P29" s="228">
        <v>44117</v>
      </c>
      <c r="Q2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44117</v>
      </c>
      <c r="S2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2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-1910</v>
      </c>
      <c r="U29" s="235">
        <f ca="1">IF(OR(Tabela_Movimentacao[[#This Row],[Status]]="Em Aberto",Tabela_Movimentacao[[#This Row],[Status]]="Prorrogado"),Tabela_Movimentacao[[#This Row],[Valor]],0)</f>
        <v>0</v>
      </c>
      <c r="V29" s="219">
        <f ca="1">IF(Tabela_Movimentacao[[#This Row],[Status]]="Cancelado","",IF(Tabela_Movimentacao[[#This Row],[Status]]&lt;&gt;"Pago","",Tabela_Movimentacao[[#This Row],[Valor]]))</f>
        <v>1910</v>
      </c>
    </row>
    <row r="30" spans="1:22" ht="35.5" hidden="1" customHeight="1" x14ac:dyDescent="0.35">
      <c r="A30" s="222" t="str">
        <f t="shared" si="0"/>
        <v>E20</v>
      </c>
      <c r="B30" s="223" t="str">
        <f t="shared" si="1"/>
        <v>FILE</v>
      </c>
      <c r="C30" s="224" t="s">
        <v>62</v>
      </c>
      <c r="D30" s="225" t="s">
        <v>104</v>
      </c>
      <c r="E30" s="226" t="s">
        <v>59</v>
      </c>
      <c r="F30" s="227" t="s">
        <v>208</v>
      </c>
      <c r="G30" s="228">
        <v>44113</v>
      </c>
      <c r="H30" s="229" t="s">
        <v>63</v>
      </c>
      <c r="I30" s="225" t="s">
        <v>222</v>
      </c>
      <c r="J30" s="225" t="s">
        <v>327</v>
      </c>
      <c r="K30" s="230">
        <v>3374.75</v>
      </c>
      <c r="L30" s="228">
        <v>44113</v>
      </c>
      <c r="M30" s="229" t="s">
        <v>44</v>
      </c>
      <c r="N30" s="229"/>
      <c r="O30" s="228"/>
      <c r="P30" s="228">
        <v>44113</v>
      </c>
      <c r="Q3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44113</v>
      </c>
      <c r="S3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3374.75</v>
      </c>
      <c r="U30" s="235">
        <f ca="1">IF(OR(Tabela_Movimentacao[[#This Row],[Status]]="Em Aberto",Tabela_Movimentacao[[#This Row],[Status]]="Prorrogado"),Tabela_Movimentacao[[#This Row],[Valor]],0)</f>
        <v>0</v>
      </c>
      <c r="V30" s="219">
        <f ca="1">IF(Tabela_Movimentacao[[#This Row],[Status]]="Cancelado","",IF(Tabela_Movimentacao[[#This Row],[Status]]&lt;&gt;"Pago","",Tabela_Movimentacao[[#This Row],[Valor]]))</f>
        <v>3374.75</v>
      </c>
    </row>
    <row r="31" spans="1:22" ht="35.5" hidden="1" customHeight="1" x14ac:dyDescent="0.35">
      <c r="A31" s="222" t="str">
        <f t="shared" si="0"/>
        <v>E21</v>
      </c>
      <c r="B31" s="223" t="str">
        <f t="shared" si="1"/>
        <v>FILE</v>
      </c>
      <c r="C31" s="224" t="s">
        <v>62</v>
      </c>
      <c r="D31" s="225" t="s">
        <v>104</v>
      </c>
      <c r="E31" s="226" t="s">
        <v>59</v>
      </c>
      <c r="F31" s="227" t="s">
        <v>208</v>
      </c>
      <c r="G31" s="228">
        <v>44113</v>
      </c>
      <c r="H31" s="229" t="s">
        <v>64</v>
      </c>
      <c r="I31" s="225" t="s">
        <v>222</v>
      </c>
      <c r="J31" s="225" t="s">
        <v>327</v>
      </c>
      <c r="K31" s="230">
        <v>3375</v>
      </c>
      <c r="L31" s="228">
        <v>44113</v>
      </c>
      <c r="M31" s="229" t="s">
        <v>44</v>
      </c>
      <c r="N31" s="229"/>
      <c r="O31" s="228"/>
      <c r="P31" s="228">
        <v>44113</v>
      </c>
      <c r="Q3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44113</v>
      </c>
      <c r="S3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3375</v>
      </c>
      <c r="U31" s="235">
        <f ca="1">IF(OR(Tabela_Movimentacao[[#This Row],[Status]]="Em Aberto",Tabela_Movimentacao[[#This Row],[Status]]="Prorrogado"),Tabela_Movimentacao[[#This Row],[Valor]],0)</f>
        <v>0</v>
      </c>
      <c r="V31" s="219">
        <f ca="1">IF(Tabela_Movimentacao[[#This Row],[Status]]="Cancelado","",IF(Tabela_Movimentacao[[#This Row],[Status]]&lt;&gt;"Pago","",Tabela_Movimentacao[[#This Row],[Valor]]))</f>
        <v>3375</v>
      </c>
    </row>
    <row r="32" spans="1:22" ht="35.5" hidden="1" customHeight="1" x14ac:dyDescent="0.35">
      <c r="A32" s="222" t="str">
        <f t="shared" si="0"/>
        <v>E22</v>
      </c>
      <c r="B32" s="223" t="str">
        <f t="shared" si="1"/>
        <v>FILE</v>
      </c>
      <c r="C32" s="224" t="s">
        <v>56</v>
      </c>
      <c r="D32" s="225" t="s">
        <v>49</v>
      </c>
      <c r="E32" s="226" t="s">
        <v>48</v>
      </c>
      <c r="F32" s="227" t="s">
        <v>208</v>
      </c>
      <c r="G32" s="228">
        <v>44113</v>
      </c>
      <c r="H32" s="229" t="s">
        <v>63</v>
      </c>
      <c r="I32" s="225" t="s">
        <v>209</v>
      </c>
      <c r="J32" s="225" t="s">
        <v>327</v>
      </c>
      <c r="K32" s="230">
        <v>3374.75</v>
      </c>
      <c r="L32" s="228">
        <v>44113</v>
      </c>
      <c r="M32" s="229" t="s">
        <v>47</v>
      </c>
      <c r="N32" s="229"/>
      <c r="O32" s="228"/>
      <c r="P32" s="228">
        <v>44113</v>
      </c>
      <c r="Q3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44113</v>
      </c>
      <c r="S3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-3374.75</v>
      </c>
      <c r="U32" s="235">
        <f ca="1">IF(OR(Tabela_Movimentacao[[#This Row],[Status]]="Em Aberto",Tabela_Movimentacao[[#This Row],[Status]]="Prorrogado"),Tabela_Movimentacao[[#This Row],[Valor]],0)</f>
        <v>0</v>
      </c>
      <c r="V32" s="219">
        <f ca="1">IF(Tabela_Movimentacao[[#This Row],[Status]]="Cancelado","",IF(Tabela_Movimentacao[[#This Row],[Status]]&lt;&gt;"Pago","",Tabela_Movimentacao[[#This Row],[Valor]]))</f>
        <v>3374.75</v>
      </c>
    </row>
    <row r="33" spans="1:22" ht="35.5" hidden="1" customHeight="1" x14ac:dyDescent="0.35">
      <c r="A33" s="222" t="str">
        <f t="shared" si="0"/>
        <v>E23</v>
      </c>
      <c r="B33" s="223" t="str">
        <f t="shared" si="1"/>
        <v>FILE</v>
      </c>
      <c r="C33" s="224" t="s">
        <v>56</v>
      </c>
      <c r="D33" s="225" t="s">
        <v>49</v>
      </c>
      <c r="E33" s="226" t="s">
        <v>48</v>
      </c>
      <c r="F33" s="227" t="s">
        <v>208</v>
      </c>
      <c r="G33" s="228">
        <v>44113</v>
      </c>
      <c r="H33" s="229" t="s">
        <v>64</v>
      </c>
      <c r="I33" s="225" t="s">
        <v>209</v>
      </c>
      <c r="J33" s="225" t="s">
        <v>327</v>
      </c>
      <c r="K33" s="230">
        <v>3375</v>
      </c>
      <c r="L33" s="228">
        <v>44113</v>
      </c>
      <c r="M33" s="229" t="s">
        <v>47</v>
      </c>
      <c r="N33" s="229"/>
      <c r="O33" s="228"/>
      <c r="P33" s="228">
        <v>44113</v>
      </c>
      <c r="Q3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44113</v>
      </c>
      <c r="S3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-3375</v>
      </c>
      <c r="U33" s="235">
        <f ca="1">IF(OR(Tabela_Movimentacao[[#This Row],[Status]]="Em Aberto",Tabela_Movimentacao[[#This Row],[Status]]="Prorrogado"),Tabela_Movimentacao[[#This Row],[Valor]],0)</f>
        <v>0</v>
      </c>
      <c r="V33" s="219">
        <f ca="1">IF(Tabela_Movimentacao[[#This Row],[Status]]="Cancelado","",IF(Tabela_Movimentacao[[#This Row],[Status]]&lt;&gt;"Pago","",Tabela_Movimentacao[[#This Row],[Valor]]))</f>
        <v>3375</v>
      </c>
    </row>
    <row r="34" spans="1:22" ht="35.5" hidden="1" customHeight="1" x14ac:dyDescent="0.35">
      <c r="A34" s="222" t="str">
        <f t="shared" si="0"/>
        <v>E24</v>
      </c>
      <c r="B34" s="223" t="str">
        <f t="shared" si="1"/>
        <v>FILE</v>
      </c>
      <c r="C34" s="224" t="s">
        <v>62</v>
      </c>
      <c r="D34" s="225" t="s">
        <v>104</v>
      </c>
      <c r="E34" s="226" t="s">
        <v>59</v>
      </c>
      <c r="F34" s="227" t="s">
        <v>210</v>
      </c>
      <c r="G34" s="228">
        <v>44114</v>
      </c>
      <c r="H34" s="229" t="s">
        <v>64</v>
      </c>
      <c r="I34" s="225" t="s">
        <v>222</v>
      </c>
      <c r="J34" s="225" t="s">
        <v>327</v>
      </c>
      <c r="K34" s="230">
        <v>939.21</v>
      </c>
      <c r="L34" s="228">
        <v>44114</v>
      </c>
      <c r="M34" s="229" t="s">
        <v>105</v>
      </c>
      <c r="N34" s="229"/>
      <c r="O34" s="228"/>
      <c r="P34" s="228">
        <v>44114</v>
      </c>
      <c r="Q3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44117</v>
      </c>
      <c r="S3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939.21</v>
      </c>
      <c r="U34" s="235">
        <f ca="1">IF(OR(Tabela_Movimentacao[[#This Row],[Status]]="Em Aberto",Tabela_Movimentacao[[#This Row],[Status]]="Prorrogado"),Tabela_Movimentacao[[#This Row],[Valor]],0)</f>
        <v>0</v>
      </c>
      <c r="V34" s="219">
        <f ca="1">IF(Tabela_Movimentacao[[#This Row],[Status]]="Cancelado","",IF(Tabela_Movimentacao[[#This Row],[Status]]&lt;&gt;"Pago","",Tabela_Movimentacao[[#This Row],[Valor]]))</f>
        <v>939.21</v>
      </c>
    </row>
    <row r="35" spans="1:22" ht="35.5" hidden="1" customHeight="1" x14ac:dyDescent="0.35">
      <c r="A35" s="222" t="str">
        <f t="shared" si="0"/>
        <v>E25</v>
      </c>
      <c r="B35" s="223" t="str">
        <f t="shared" si="1"/>
        <v>FILE</v>
      </c>
      <c r="C35" s="224" t="s">
        <v>56</v>
      </c>
      <c r="D35" s="225" t="s">
        <v>13</v>
      </c>
      <c r="E35" s="226" t="s">
        <v>16</v>
      </c>
      <c r="F35" s="227" t="s">
        <v>210</v>
      </c>
      <c r="G35" s="228">
        <v>44114</v>
      </c>
      <c r="H35" s="229" t="s">
        <v>64</v>
      </c>
      <c r="I35" s="225" t="s">
        <v>173</v>
      </c>
      <c r="J35" s="225" t="s">
        <v>327</v>
      </c>
      <c r="K35" s="230">
        <v>939.21</v>
      </c>
      <c r="L35" s="228">
        <v>44114</v>
      </c>
      <c r="M35" s="229" t="s">
        <v>105</v>
      </c>
      <c r="N35" s="229"/>
      <c r="O35" s="228"/>
      <c r="P35" s="228">
        <v>44114</v>
      </c>
      <c r="Q3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44117</v>
      </c>
      <c r="S3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-939.21</v>
      </c>
      <c r="U35" s="235">
        <f ca="1">IF(OR(Tabela_Movimentacao[[#This Row],[Status]]="Em Aberto",Tabela_Movimentacao[[#This Row],[Status]]="Prorrogado"),Tabela_Movimentacao[[#This Row],[Valor]],0)</f>
        <v>0</v>
      </c>
      <c r="V35" s="219">
        <f ca="1">IF(Tabela_Movimentacao[[#This Row],[Status]]="Cancelado","",IF(Tabela_Movimentacao[[#This Row],[Status]]&lt;&gt;"Pago","",Tabela_Movimentacao[[#This Row],[Valor]]))</f>
        <v>939.21</v>
      </c>
    </row>
    <row r="36" spans="1:22" ht="35.5" hidden="1" customHeight="1" x14ac:dyDescent="0.35">
      <c r="A36" s="222" t="str">
        <f t="shared" si="0"/>
        <v>E26</v>
      </c>
      <c r="B36" s="223" t="str">
        <f t="shared" si="1"/>
        <v>FILE</v>
      </c>
      <c r="C36" s="224" t="s">
        <v>62</v>
      </c>
      <c r="D36" s="225" t="s">
        <v>104</v>
      </c>
      <c r="E36" s="226" t="s">
        <v>59</v>
      </c>
      <c r="F36" s="227" t="s">
        <v>211</v>
      </c>
      <c r="G36" s="228">
        <v>44117</v>
      </c>
      <c r="H36" s="229" t="s">
        <v>63</v>
      </c>
      <c r="I36" s="225" t="s">
        <v>222</v>
      </c>
      <c r="J36" s="225" t="s">
        <v>327</v>
      </c>
      <c r="K36" s="230">
        <v>1910</v>
      </c>
      <c r="L36" s="228">
        <v>44117</v>
      </c>
      <c r="M36" s="229" t="s">
        <v>47</v>
      </c>
      <c r="N36" s="229"/>
      <c r="O36" s="228"/>
      <c r="P36" s="228">
        <v>44117</v>
      </c>
      <c r="Q3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44117</v>
      </c>
      <c r="S3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1910</v>
      </c>
      <c r="U36" s="235">
        <f ca="1">IF(OR(Tabela_Movimentacao[[#This Row],[Status]]="Em Aberto",Tabela_Movimentacao[[#This Row],[Status]]="Prorrogado"),Tabela_Movimentacao[[#This Row],[Valor]],0)</f>
        <v>0</v>
      </c>
      <c r="V36" s="219">
        <f ca="1">IF(Tabela_Movimentacao[[#This Row],[Status]]="Cancelado","",IF(Tabela_Movimentacao[[#This Row],[Status]]&lt;&gt;"Pago","",Tabela_Movimentacao[[#This Row],[Valor]]))</f>
        <v>1910</v>
      </c>
    </row>
    <row r="37" spans="1:22" ht="35.5" hidden="1" customHeight="1" x14ac:dyDescent="0.35">
      <c r="A37" s="222" t="str">
        <f t="shared" si="0"/>
        <v>E27</v>
      </c>
      <c r="B37" s="223" t="str">
        <f t="shared" si="1"/>
        <v>FILE</v>
      </c>
      <c r="C37" s="224" t="s">
        <v>62</v>
      </c>
      <c r="D37" s="225" t="s">
        <v>104</v>
      </c>
      <c r="E37" s="226" t="s">
        <v>59</v>
      </c>
      <c r="F37" s="227" t="s">
        <v>211</v>
      </c>
      <c r="G37" s="228">
        <v>44118</v>
      </c>
      <c r="H37" s="229" t="s">
        <v>65</v>
      </c>
      <c r="I37" s="225" t="s">
        <v>222</v>
      </c>
      <c r="J37" s="225" t="s">
        <v>327</v>
      </c>
      <c r="K37" s="230">
        <v>1910</v>
      </c>
      <c r="L37" s="228">
        <v>44118</v>
      </c>
      <c r="M37" s="229" t="s">
        <v>47</v>
      </c>
      <c r="N37" s="229"/>
      <c r="O37" s="228"/>
      <c r="P37" s="228">
        <v>44118</v>
      </c>
      <c r="Q3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44118</v>
      </c>
      <c r="S3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1910</v>
      </c>
      <c r="U37" s="235">
        <f ca="1">IF(OR(Tabela_Movimentacao[[#This Row],[Status]]="Em Aberto",Tabela_Movimentacao[[#This Row],[Status]]="Prorrogado"),Tabela_Movimentacao[[#This Row],[Valor]],0)</f>
        <v>0</v>
      </c>
      <c r="V37" s="219">
        <f ca="1">IF(Tabela_Movimentacao[[#This Row],[Status]]="Cancelado","",IF(Tabela_Movimentacao[[#This Row],[Status]]&lt;&gt;"Pago","",Tabela_Movimentacao[[#This Row],[Valor]]))</f>
        <v>1910</v>
      </c>
    </row>
    <row r="38" spans="1:22" ht="35.5" hidden="1" customHeight="1" x14ac:dyDescent="0.35">
      <c r="A38" s="222" t="str">
        <f t="shared" si="0"/>
        <v>E28</v>
      </c>
      <c r="B38" s="223" t="str">
        <f t="shared" si="1"/>
        <v>FILE</v>
      </c>
      <c r="C38" s="224" t="s">
        <v>56</v>
      </c>
      <c r="D38" s="225" t="s">
        <v>49</v>
      </c>
      <c r="E38" s="226" t="s">
        <v>50</v>
      </c>
      <c r="F38" s="227" t="s">
        <v>211</v>
      </c>
      <c r="G38" s="228">
        <v>44118</v>
      </c>
      <c r="H38" s="229" t="s">
        <v>65</v>
      </c>
      <c r="I38" s="225" t="s">
        <v>329</v>
      </c>
      <c r="J38" s="225" t="s">
        <v>327</v>
      </c>
      <c r="K38" s="230">
        <v>1910</v>
      </c>
      <c r="L38" s="228">
        <v>44118</v>
      </c>
      <c r="M38" s="229" t="s">
        <v>47</v>
      </c>
      <c r="N38" s="229"/>
      <c r="O38" s="228"/>
      <c r="P38" s="228">
        <v>44118</v>
      </c>
      <c r="Q3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44118</v>
      </c>
      <c r="S3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-1910</v>
      </c>
      <c r="U38" s="235">
        <f ca="1">IF(OR(Tabela_Movimentacao[[#This Row],[Status]]="Em Aberto",Tabela_Movimentacao[[#This Row],[Status]]="Prorrogado"),Tabela_Movimentacao[[#This Row],[Valor]],0)</f>
        <v>0</v>
      </c>
      <c r="V38" s="219">
        <f ca="1">IF(Tabela_Movimentacao[[#This Row],[Status]]="Cancelado","",IF(Tabela_Movimentacao[[#This Row],[Status]]&lt;&gt;"Pago","",Tabela_Movimentacao[[#This Row],[Valor]]))</f>
        <v>1910</v>
      </c>
    </row>
    <row r="39" spans="1:22" ht="35.5" hidden="1" customHeight="1" x14ac:dyDescent="0.35">
      <c r="A39" s="222" t="str">
        <f t="shared" si="0"/>
        <v>E29</v>
      </c>
      <c r="B39" s="223" t="str">
        <f t="shared" si="1"/>
        <v>FILE</v>
      </c>
      <c r="C39" s="224" t="s">
        <v>62</v>
      </c>
      <c r="D39" s="225" t="s">
        <v>104</v>
      </c>
      <c r="E39" s="226" t="s">
        <v>59</v>
      </c>
      <c r="F39" s="227" t="s">
        <v>213</v>
      </c>
      <c r="G39" s="228">
        <v>44118</v>
      </c>
      <c r="H39" s="229" t="s">
        <v>64</v>
      </c>
      <c r="I39" s="225" t="s">
        <v>222</v>
      </c>
      <c r="J39" s="225" t="s">
        <v>327</v>
      </c>
      <c r="K39" s="230">
        <v>3820</v>
      </c>
      <c r="L39" s="228">
        <v>44118</v>
      </c>
      <c r="M39" s="229" t="s">
        <v>47</v>
      </c>
      <c r="N39" s="229"/>
      <c r="O39" s="228"/>
      <c r="P39" s="228">
        <v>44118</v>
      </c>
      <c r="Q3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44118</v>
      </c>
      <c r="S3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3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3820</v>
      </c>
      <c r="U39" s="235">
        <f ca="1">IF(OR(Tabela_Movimentacao[[#This Row],[Status]]="Em Aberto",Tabela_Movimentacao[[#This Row],[Status]]="Prorrogado"),Tabela_Movimentacao[[#This Row],[Valor]],0)</f>
        <v>0</v>
      </c>
      <c r="V39" s="219">
        <f ca="1">IF(Tabela_Movimentacao[[#This Row],[Status]]="Cancelado","",IF(Tabela_Movimentacao[[#This Row],[Status]]&lt;&gt;"Pago","",Tabela_Movimentacao[[#This Row],[Valor]]))</f>
        <v>3820</v>
      </c>
    </row>
    <row r="40" spans="1:22" ht="35.5" hidden="1" customHeight="1" x14ac:dyDescent="0.35">
      <c r="A40" s="222" t="str">
        <f t="shared" si="0"/>
        <v>E30</v>
      </c>
      <c r="B40" s="223" t="str">
        <f t="shared" si="1"/>
        <v>FILE</v>
      </c>
      <c r="C40" s="224" t="s">
        <v>56</v>
      </c>
      <c r="D40" s="225" t="s">
        <v>49</v>
      </c>
      <c r="E40" s="226" t="s">
        <v>48</v>
      </c>
      <c r="F40" s="227" t="s">
        <v>213</v>
      </c>
      <c r="G40" s="228">
        <v>44118</v>
      </c>
      <c r="H40" s="229" t="s">
        <v>64</v>
      </c>
      <c r="I40" s="225" t="s">
        <v>329</v>
      </c>
      <c r="J40" s="225" t="s">
        <v>327</v>
      </c>
      <c r="K40" s="230">
        <v>3820</v>
      </c>
      <c r="L40" s="228">
        <v>44118</v>
      </c>
      <c r="M40" s="229" t="s">
        <v>47</v>
      </c>
      <c r="N40" s="229"/>
      <c r="O40" s="228"/>
      <c r="P40" s="228">
        <v>44118</v>
      </c>
      <c r="Q4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44118</v>
      </c>
      <c r="S4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-3820</v>
      </c>
      <c r="U40" s="235">
        <f ca="1">IF(OR(Tabela_Movimentacao[[#This Row],[Status]]="Em Aberto",Tabela_Movimentacao[[#This Row],[Status]]="Prorrogado"),Tabela_Movimentacao[[#This Row],[Valor]],0)</f>
        <v>0</v>
      </c>
      <c r="V40" s="219">
        <f ca="1">IF(Tabela_Movimentacao[[#This Row],[Status]]="Cancelado","",IF(Tabela_Movimentacao[[#This Row],[Status]]&lt;&gt;"Pago","",Tabela_Movimentacao[[#This Row],[Valor]]))</f>
        <v>3820</v>
      </c>
    </row>
    <row r="41" spans="1:22" ht="35.5" hidden="1" customHeight="1" x14ac:dyDescent="0.35">
      <c r="A41" s="222" t="str">
        <f t="shared" si="0"/>
        <v>E31</v>
      </c>
      <c r="B41" s="223" t="str">
        <f t="shared" si="1"/>
        <v>FILE</v>
      </c>
      <c r="C41" s="224" t="s">
        <v>62</v>
      </c>
      <c r="D41" s="225" t="s">
        <v>104</v>
      </c>
      <c r="E41" s="226" t="s">
        <v>59</v>
      </c>
      <c r="F41" s="227" t="s">
        <v>215</v>
      </c>
      <c r="G41" s="228">
        <v>44125</v>
      </c>
      <c r="H41" s="229" t="s">
        <v>65</v>
      </c>
      <c r="I41" s="225" t="s">
        <v>222</v>
      </c>
      <c r="J41" s="225" t="s">
        <v>327</v>
      </c>
      <c r="K41" s="230">
        <v>2553.75</v>
      </c>
      <c r="L41" s="228">
        <v>44125</v>
      </c>
      <c r="M41" s="229" t="s">
        <v>47</v>
      </c>
      <c r="N41" s="229"/>
      <c r="O41" s="228"/>
      <c r="P41" s="228">
        <v>44125</v>
      </c>
      <c r="Q4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2553.75</v>
      </c>
      <c r="U41" s="235">
        <f ca="1">IF(OR(Tabela_Movimentacao[[#This Row],[Status]]="Em Aberto",Tabela_Movimentacao[[#This Row],[Status]]="Prorrogado"),Tabela_Movimentacao[[#This Row],[Valor]],0)</f>
        <v>0</v>
      </c>
      <c r="V41" s="219">
        <f ca="1">IF(Tabela_Movimentacao[[#This Row],[Status]]="Cancelado","",IF(Tabela_Movimentacao[[#This Row],[Status]]&lt;&gt;"Pago","",Tabela_Movimentacao[[#This Row],[Valor]]))</f>
        <v>2553.75</v>
      </c>
    </row>
    <row r="42" spans="1:22" ht="35.5" hidden="1" customHeight="1" x14ac:dyDescent="0.35">
      <c r="A42" s="222" t="str">
        <f t="shared" si="0"/>
        <v>E32</v>
      </c>
      <c r="B42" s="223" t="str">
        <f t="shared" si="1"/>
        <v>FILE</v>
      </c>
      <c r="C42" s="224" t="s">
        <v>62</v>
      </c>
      <c r="D42" s="225" t="s">
        <v>104</v>
      </c>
      <c r="E42" s="226" t="s">
        <v>59</v>
      </c>
      <c r="F42" s="227" t="s">
        <v>215</v>
      </c>
      <c r="G42" s="228">
        <v>44125</v>
      </c>
      <c r="H42" s="229" t="s">
        <v>63</v>
      </c>
      <c r="I42" s="225" t="s">
        <v>222</v>
      </c>
      <c r="J42" s="225" t="s">
        <v>327</v>
      </c>
      <c r="K42" s="230">
        <v>2553.75</v>
      </c>
      <c r="L42" s="228">
        <v>44125</v>
      </c>
      <c r="M42" s="229" t="s">
        <v>47</v>
      </c>
      <c r="N42" s="229"/>
      <c r="O42" s="228"/>
      <c r="P42" s="228">
        <v>44125</v>
      </c>
      <c r="Q4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2553.75</v>
      </c>
      <c r="U42" s="235">
        <f ca="1">IF(OR(Tabela_Movimentacao[[#This Row],[Status]]="Em Aberto",Tabela_Movimentacao[[#This Row],[Status]]="Prorrogado"),Tabela_Movimentacao[[#This Row],[Valor]],0)</f>
        <v>0</v>
      </c>
      <c r="V42" s="219">
        <f ca="1">IF(Tabela_Movimentacao[[#This Row],[Status]]="Cancelado","",IF(Tabela_Movimentacao[[#This Row],[Status]]&lt;&gt;"Pago","",Tabela_Movimentacao[[#This Row],[Valor]]))</f>
        <v>2553.75</v>
      </c>
    </row>
    <row r="43" spans="1:22" ht="35.5" hidden="1" customHeight="1" x14ac:dyDescent="0.35">
      <c r="A43" s="222" t="str">
        <f t="shared" ref="A43:A74" si="2">"E"&amp;ROW()-10</f>
        <v>E33</v>
      </c>
      <c r="B43" s="223" t="str">
        <f t="shared" si="1"/>
        <v>FILE</v>
      </c>
      <c r="C43" s="224" t="s">
        <v>56</v>
      </c>
      <c r="D43" s="225" t="s">
        <v>49</v>
      </c>
      <c r="E43" s="226" t="s">
        <v>50</v>
      </c>
      <c r="F43" s="227" t="s">
        <v>215</v>
      </c>
      <c r="G43" s="228">
        <v>44125</v>
      </c>
      <c r="H43" s="229" t="s">
        <v>65</v>
      </c>
      <c r="I43" s="225" t="s">
        <v>329</v>
      </c>
      <c r="J43" s="225" t="s">
        <v>327</v>
      </c>
      <c r="K43" s="230">
        <v>2553.75</v>
      </c>
      <c r="L43" s="228">
        <v>44125</v>
      </c>
      <c r="M43" s="229" t="s">
        <v>47</v>
      </c>
      <c r="N43" s="229"/>
      <c r="O43" s="228"/>
      <c r="P43" s="228">
        <v>44125</v>
      </c>
      <c r="Q4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-2553.75</v>
      </c>
      <c r="U43" s="235">
        <f ca="1">IF(OR(Tabela_Movimentacao[[#This Row],[Status]]="Em Aberto",Tabela_Movimentacao[[#This Row],[Status]]="Prorrogado"),Tabela_Movimentacao[[#This Row],[Valor]],0)</f>
        <v>0</v>
      </c>
      <c r="V43" s="219">
        <f ca="1">IF(Tabela_Movimentacao[[#This Row],[Status]]="Cancelado","",IF(Tabela_Movimentacao[[#This Row],[Status]]&lt;&gt;"Pago","",Tabela_Movimentacao[[#This Row],[Valor]]))</f>
        <v>2553.75</v>
      </c>
    </row>
    <row r="44" spans="1:22" ht="35.5" hidden="1" customHeight="1" x14ac:dyDescent="0.35">
      <c r="A44" s="222" t="str">
        <f t="shared" si="2"/>
        <v>E34</v>
      </c>
      <c r="B44" s="223" t="str">
        <f t="shared" si="1"/>
        <v>FILE</v>
      </c>
      <c r="C44" s="224" t="s">
        <v>56</v>
      </c>
      <c r="D44" s="225" t="s">
        <v>49</v>
      </c>
      <c r="E44" s="226" t="s">
        <v>48</v>
      </c>
      <c r="F44" s="227" t="s">
        <v>215</v>
      </c>
      <c r="G44" s="228">
        <v>44125</v>
      </c>
      <c r="H44" s="229" t="s">
        <v>63</v>
      </c>
      <c r="I44" s="225" t="s">
        <v>329</v>
      </c>
      <c r="J44" s="225" t="s">
        <v>327</v>
      </c>
      <c r="K44" s="230">
        <v>2553.75</v>
      </c>
      <c r="L44" s="228">
        <v>44125</v>
      </c>
      <c r="M44" s="229" t="s">
        <v>47</v>
      </c>
      <c r="N44" s="229"/>
      <c r="O44" s="228"/>
      <c r="P44" s="228">
        <v>44125</v>
      </c>
      <c r="Q4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-2553.75</v>
      </c>
      <c r="U44" s="235">
        <f ca="1">IF(OR(Tabela_Movimentacao[[#This Row],[Status]]="Em Aberto",Tabela_Movimentacao[[#This Row],[Status]]="Prorrogado"),Tabela_Movimentacao[[#This Row],[Valor]],0)</f>
        <v>0</v>
      </c>
      <c r="V44" s="219">
        <f ca="1">IF(Tabela_Movimentacao[[#This Row],[Status]]="Cancelado","",IF(Tabela_Movimentacao[[#This Row],[Status]]&lt;&gt;"Pago","",Tabela_Movimentacao[[#This Row],[Valor]]))</f>
        <v>2553.75</v>
      </c>
    </row>
    <row r="45" spans="1:22" ht="35.5" hidden="1" customHeight="1" x14ac:dyDescent="0.35">
      <c r="A45" s="222" t="str">
        <f t="shared" si="2"/>
        <v>E35</v>
      </c>
      <c r="B45" s="223" t="str">
        <f t="shared" si="1"/>
        <v>FILE</v>
      </c>
      <c r="C45" s="224" t="s">
        <v>62</v>
      </c>
      <c r="D45" s="225" t="s">
        <v>104</v>
      </c>
      <c r="E45" s="226" t="s">
        <v>59</v>
      </c>
      <c r="F45" s="227" t="s">
        <v>214</v>
      </c>
      <c r="G45" s="228">
        <v>44125</v>
      </c>
      <c r="H45" s="229" t="s">
        <v>64</v>
      </c>
      <c r="I45" s="225" t="s">
        <v>222</v>
      </c>
      <c r="J45" s="225" t="s">
        <v>327</v>
      </c>
      <c r="K45" s="230">
        <v>5107.5</v>
      </c>
      <c r="L45" s="228">
        <v>44125</v>
      </c>
      <c r="M45" s="229" t="s">
        <v>47</v>
      </c>
      <c r="N45" s="229"/>
      <c r="O45" s="228"/>
      <c r="P45" s="228">
        <v>44125</v>
      </c>
      <c r="Q4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5107.5</v>
      </c>
      <c r="U45" s="235">
        <f ca="1">IF(OR(Tabela_Movimentacao[[#This Row],[Status]]="Em Aberto",Tabela_Movimentacao[[#This Row],[Status]]="Prorrogado"),Tabela_Movimentacao[[#This Row],[Valor]],0)</f>
        <v>0</v>
      </c>
      <c r="V45" s="219">
        <f ca="1">IF(Tabela_Movimentacao[[#This Row],[Status]]="Cancelado","",IF(Tabela_Movimentacao[[#This Row],[Status]]&lt;&gt;"Pago","",Tabela_Movimentacao[[#This Row],[Valor]]))</f>
        <v>5107.5</v>
      </c>
    </row>
    <row r="46" spans="1:22" ht="35.5" hidden="1" customHeight="1" x14ac:dyDescent="0.35">
      <c r="A46" s="222" t="str">
        <f t="shared" si="2"/>
        <v>E36</v>
      </c>
      <c r="B46" s="223" t="str">
        <f t="shared" si="1"/>
        <v>FILE</v>
      </c>
      <c r="C46" s="224" t="s">
        <v>56</v>
      </c>
      <c r="D46" s="225" t="s">
        <v>49</v>
      </c>
      <c r="E46" s="226" t="s">
        <v>50</v>
      </c>
      <c r="F46" s="227" t="s">
        <v>214</v>
      </c>
      <c r="G46" s="228">
        <v>44125</v>
      </c>
      <c r="H46" s="229" t="s">
        <v>64</v>
      </c>
      <c r="I46" s="225" t="s">
        <v>329</v>
      </c>
      <c r="J46" s="225" t="s">
        <v>327</v>
      </c>
      <c r="K46" s="230">
        <v>5107.5</v>
      </c>
      <c r="L46" s="228">
        <v>44125</v>
      </c>
      <c r="M46" s="229" t="s">
        <v>47</v>
      </c>
      <c r="N46" s="229"/>
      <c r="O46" s="228"/>
      <c r="P46" s="228">
        <v>44125</v>
      </c>
      <c r="Q4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-5107.5</v>
      </c>
      <c r="U46" s="235">
        <f ca="1">IF(OR(Tabela_Movimentacao[[#This Row],[Status]]="Em Aberto",Tabela_Movimentacao[[#This Row],[Status]]="Prorrogado"),Tabela_Movimentacao[[#This Row],[Valor]],0)</f>
        <v>0</v>
      </c>
      <c r="V46" s="219">
        <f ca="1">IF(Tabela_Movimentacao[[#This Row],[Status]]="Cancelado","",IF(Tabela_Movimentacao[[#This Row],[Status]]&lt;&gt;"Pago","",Tabela_Movimentacao[[#This Row],[Valor]]))</f>
        <v>5107.5</v>
      </c>
    </row>
    <row r="47" spans="1:22" ht="35.5" hidden="1" customHeight="1" x14ac:dyDescent="0.35">
      <c r="A47" s="222" t="str">
        <f t="shared" si="2"/>
        <v>E37</v>
      </c>
      <c r="B47" s="223" t="str">
        <f t="shared" si="1"/>
        <v>FILE</v>
      </c>
      <c r="C47" s="224" t="s">
        <v>62</v>
      </c>
      <c r="D47" s="225" t="s">
        <v>104</v>
      </c>
      <c r="E47" s="226" t="s">
        <v>59</v>
      </c>
      <c r="F47" s="227" t="s">
        <v>217</v>
      </c>
      <c r="G47" s="228">
        <v>44125</v>
      </c>
      <c r="H47" s="229" t="s">
        <v>64</v>
      </c>
      <c r="I47" s="225" t="s">
        <v>222</v>
      </c>
      <c r="J47" s="225" t="s">
        <v>327</v>
      </c>
      <c r="K47" s="230">
        <v>347</v>
      </c>
      <c r="L47" s="228">
        <v>44125</v>
      </c>
      <c r="M47" s="229" t="s">
        <v>105</v>
      </c>
      <c r="N47" s="229"/>
      <c r="O47" s="228"/>
      <c r="P47" s="228">
        <v>44125</v>
      </c>
      <c r="Q4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347</v>
      </c>
      <c r="U47" s="235">
        <f ca="1">IF(OR(Tabela_Movimentacao[[#This Row],[Status]]="Em Aberto",Tabela_Movimentacao[[#This Row],[Status]]="Prorrogado"),Tabela_Movimentacao[[#This Row],[Valor]],0)</f>
        <v>0</v>
      </c>
      <c r="V47" s="219">
        <f ca="1">IF(Tabela_Movimentacao[[#This Row],[Status]]="Cancelado","",IF(Tabela_Movimentacao[[#This Row],[Status]]&lt;&gt;"Pago","",Tabela_Movimentacao[[#This Row],[Valor]]))</f>
        <v>347</v>
      </c>
    </row>
    <row r="48" spans="1:22" ht="35.5" hidden="1" customHeight="1" x14ac:dyDescent="0.35">
      <c r="A48" s="222" t="str">
        <f t="shared" si="2"/>
        <v>E38</v>
      </c>
      <c r="B48" s="223" t="str">
        <f t="shared" si="1"/>
        <v>FILE</v>
      </c>
      <c r="C48" s="224" t="s">
        <v>56</v>
      </c>
      <c r="D48" s="225" t="s">
        <v>13</v>
      </c>
      <c r="E48" s="226" t="s">
        <v>30</v>
      </c>
      <c r="F48" s="227" t="s">
        <v>217</v>
      </c>
      <c r="G48" s="228">
        <v>44125</v>
      </c>
      <c r="H48" s="229" t="s">
        <v>64</v>
      </c>
      <c r="I48" s="225" t="s">
        <v>216</v>
      </c>
      <c r="J48" s="225" t="s">
        <v>327</v>
      </c>
      <c r="K48" s="230">
        <v>347</v>
      </c>
      <c r="L48" s="228">
        <v>44125</v>
      </c>
      <c r="M48" s="229" t="s">
        <v>105</v>
      </c>
      <c r="N48" s="229"/>
      <c r="O48" s="228"/>
      <c r="P48" s="228">
        <v>44125</v>
      </c>
      <c r="Q4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44125</v>
      </c>
      <c r="S4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-347</v>
      </c>
      <c r="U48" s="235">
        <f ca="1">IF(OR(Tabela_Movimentacao[[#This Row],[Status]]="Em Aberto",Tabela_Movimentacao[[#This Row],[Status]]="Prorrogado"),Tabela_Movimentacao[[#This Row],[Valor]],0)</f>
        <v>0</v>
      </c>
      <c r="V48" s="219">
        <f ca="1">IF(Tabela_Movimentacao[[#This Row],[Status]]="Cancelado","",IF(Tabela_Movimentacao[[#This Row],[Status]]&lt;&gt;"Pago","",Tabela_Movimentacao[[#This Row],[Valor]]))</f>
        <v>347</v>
      </c>
    </row>
    <row r="49" spans="1:22" ht="35.5" hidden="1" customHeight="1" x14ac:dyDescent="0.35">
      <c r="A49" s="222" t="str">
        <f t="shared" si="2"/>
        <v>E39</v>
      </c>
      <c r="B49" s="223" t="str">
        <f t="shared" si="1"/>
        <v>FILE</v>
      </c>
      <c r="C49" s="224" t="s">
        <v>62</v>
      </c>
      <c r="D49" s="225" t="s">
        <v>104</v>
      </c>
      <c r="E49" s="226" t="s">
        <v>59</v>
      </c>
      <c r="F49" s="227" t="s">
        <v>221</v>
      </c>
      <c r="G49" s="228">
        <v>44132</v>
      </c>
      <c r="H49" s="229" t="s">
        <v>65</v>
      </c>
      <c r="I49" s="225" t="s">
        <v>222</v>
      </c>
      <c r="J49" s="225" t="s">
        <v>327</v>
      </c>
      <c r="K49" s="230">
        <v>1966</v>
      </c>
      <c r="L49" s="228">
        <v>44132</v>
      </c>
      <c r="M49" s="229" t="s">
        <v>47</v>
      </c>
      <c r="N49" s="229"/>
      <c r="O49" s="228"/>
      <c r="P49" s="228">
        <v>44132</v>
      </c>
      <c r="Q4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4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44132</v>
      </c>
      <c r="S4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4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1966</v>
      </c>
      <c r="U49" s="235">
        <f ca="1">IF(OR(Tabela_Movimentacao[[#This Row],[Status]]="Em Aberto",Tabela_Movimentacao[[#This Row],[Status]]="Prorrogado"),Tabela_Movimentacao[[#This Row],[Valor]],0)</f>
        <v>0</v>
      </c>
      <c r="V49" s="219">
        <f ca="1">IF(Tabela_Movimentacao[[#This Row],[Status]]="Cancelado","",IF(Tabela_Movimentacao[[#This Row],[Status]]&lt;&gt;"Pago","",Tabela_Movimentacao[[#This Row],[Valor]]))</f>
        <v>1966</v>
      </c>
    </row>
    <row r="50" spans="1:22" ht="35.5" hidden="1" customHeight="1" x14ac:dyDescent="0.35">
      <c r="A50" s="222" t="str">
        <f t="shared" si="2"/>
        <v>E40</v>
      </c>
      <c r="B50" s="223" t="str">
        <f t="shared" si="1"/>
        <v>FILE</v>
      </c>
      <c r="C50" s="224" t="s">
        <v>56</v>
      </c>
      <c r="D50" s="225" t="s">
        <v>49</v>
      </c>
      <c r="E50" s="226" t="s">
        <v>48</v>
      </c>
      <c r="F50" s="227" t="s">
        <v>221</v>
      </c>
      <c r="G50" s="228">
        <v>44132</v>
      </c>
      <c r="H50" s="229" t="s">
        <v>65</v>
      </c>
      <c r="I50" s="225" t="s">
        <v>329</v>
      </c>
      <c r="J50" s="225" t="s">
        <v>327</v>
      </c>
      <c r="K50" s="230">
        <v>1966</v>
      </c>
      <c r="L50" s="228">
        <v>44132</v>
      </c>
      <c r="M50" s="229" t="s">
        <v>47</v>
      </c>
      <c r="N50" s="229"/>
      <c r="O50" s="228"/>
      <c r="P50" s="228">
        <v>44132</v>
      </c>
      <c r="Q5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44132</v>
      </c>
      <c r="S5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-1966</v>
      </c>
      <c r="U50" s="235">
        <f ca="1">IF(OR(Tabela_Movimentacao[[#This Row],[Status]]="Em Aberto",Tabela_Movimentacao[[#This Row],[Status]]="Prorrogado"),Tabela_Movimentacao[[#This Row],[Valor]],0)</f>
        <v>0</v>
      </c>
      <c r="V50" s="219">
        <f ca="1">IF(Tabela_Movimentacao[[#This Row],[Status]]="Cancelado","",IF(Tabela_Movimentacao[[#This Row],[Status]]&lt;&gt;"Pago","",Tabela_Movimentacao[[#This Row],[Valor]]))</f>
        <v>1966</v>
      </c>
    </row>
    <row r="51" spans="1:22" ht="35.5" hidden="1" customHeight="1" x14ac:dyDescent="0.35">
      <c r="A51" s="222" t="str">
        <f t="shared" si="2"/>
        <v>E41</v>
      </c>
      <c r="B51" s="223" t="str">
        <f t="shared" si="1"/>
        <v>FILE</v>
      </c>
      <c r="C51" s="224" t="s">
        <v>62</v>
      </c>
      <c r="D51" s="225" t="s">
        <v>104</v>
      </c>
      <c r="E51" s="226" t="s">
        <v>59</v>
      </c>
      <c r="F51" s="227" t="s">
        <v>220</v>
      </c>
      <c r="G51" s="228">
        <v>44132</v>
      </c>
      <c r="H51" s="229" t="s">
        <v>64</v>
      </c>
      <c r="I51" s="225" t="s">
        <v>222</v>
      </c>
      <c r="J51" s="225" t="s">
        <v>327</v>
      </c>
      <c r="K51" s="230">
        <v>3931.4</v>
      </c>
      <c r="L51" s="228">
        <v>44132</v>
      </c>
      <c r="M51" s="229" t="s">
        <v>47</v>
      </c>
      <c r="N51" s="229"/>
      <c r="O51" s="228"/>
      <c r="P51" s="228">
        <v>44132</v>
      </c>
      <c r="Q5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44132</v>
      </c>
      <c r="S5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3931.4</v>
      </c>
      <c r="U51" s="235">
        <f ca="1">IF(OR(Tabela_Movimentacao[[#This Row],[Status]]="Em Aberto",Tabela_Movimentacao[[#This Row],[Status]]="Prorrogado"),Tabela_Movimentacao[[#This Row],[Valor]],0)</f>
        <v>0</v>
      </c>
      <c r="V51" s="219">
        <f ca="1">IF(Tabela_Movimentacao[[#This Row],[Status]]="Cancelado","",IF(Tabela_Movimentacao[[#This Row],[Status]]&lt;&gt;"Pago","",Tabela_Movimentacao[[#This Row],[Valor]]))</f>
        <v>3931.4</v>
      </c>
    </row>
    <row r="52" spans="1:22" ht="35.5" hidden="1" customHeight="1" x14ac:dyDescent="0.35">
      <c r="A52" s="222" t="str">
        <f t="shared" si="2"/>
        <v>E42</v>
      </c>
      <c r="B52" s="223" t="str">
        <f t="shared" si="1"/>
        <v>FILE</v>
      </c>
      <c r="C52" s="224" t="s">
        <v>56</v>
      </c>
      <c r="D52" s="225" t="s">
        <v>49</v>
      </c>
      <c r="E52" s="226" t="s">
        <v>48</v>
      </c>
      <c r="F52" s="227" t="s">
        <v>220</v>
      </c>
      <c r="G52" s="228">
        <v>44132</v>
      </c>
      <c r="H52" s="229" t="s">
        <v>64</v>
      </c>
      <c r="I52" s="225" t="s">
        <v>329</v>
      </c>
      <c r="J52" s="225" t="s">
        <v>327</v>
      </c>
      <c r="K52" s="230">
        <v>3931.4</v>
      </c>
      <c r="L52" s="228">
        <v>44132</v>
      </c>
      <c r="M52" s="229" t="s">
        <v>47</v>
      </c>
      <c r="N52" s="229"/>
      <c r="O52" s="228"/>
      <c r="P52" s="228">
        <v>44132</v>
      </c>
      <c r="Q5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44132</v>
      </c>
      <c r="S5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-3931.4</v>
      </c>
      <c r="U52" s="235">
        <f ca="1">IF(OR(Tabela_Movimentacao[[#This Row],[Status]]="Em Aberto",Tabela_Movimentacao[[#This Row],[Status]]="Prorrogado"),Tabela_Movimentacao[[#This Row],[Valor]],0)</f>
        <v>0</v>
      </c>
      <c r="V52" s="219">
        <f ca="1">IF(Tabela_Movimentacao[[#This Row],[Status]]="Cancelado","",IF(Tabela_Movimentacao[[#This Row],[Status]]&lt;&gt;"Pago","",Tabela_Movimentacao[[#This Row],[Valor]]))</f>
        <v>3931.4</v>
      </c>
    </row>
    <row r="53" spans="1:22" ht="35.5" hidden="1" customHeight="1" x14ac:dyDescent="0.35">
      <c r="A53" s="222" t="str">
        <f t="shared" si="2"/>
        <v>E43</v>
      </c>
      <c r="B53" s="223" t="str">
        <f t="shared" si="1"/>
        <v>FILE</v>
      </c>
      <c r="C53" s="224" t="s">
        <v>62</v>
      </c>
      <c r="D53" s="225" t="s">
        <v>104</v>
      </c>
      <c r="E53" s="226" t="s">
        <v>59</v>
      </c>
      <c r="F53" s="227" t="s">
        <v>221</v>
      </c>
      <c r="G53" s="228">
        <v>44133</v>
      </c>
      <c r="H53" s="229" t="s">
        <v>63</v>
      </c>
      <c r="I53" s="225" t="s">
        <v>222</v>
      </c>
      <c r="J53" s="225" t="s">
        <v>327</v>
      </c>
      <c r="K53" s="230">
        <v>1966</v>
      </c>
      <c r="L53" s="228">
        <v>44133</v>
      </c>
      <c r="M53" s="229" t="s">
        <v>47</v>
      </c>
      <c r="N53" s="229"/>
      <c r="O53" s="228"/>
      <c r="P53" s="228">
        <v>44133</v>
      </c>
      <c r="Q5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44133</v>
      </c>
      <c r="S5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1966</v>
      </c>
      <c r="U53" s="235">
        <f ca="1">IF(OR(Tabela_Movimentacao[[#This Row],[Status]]="Em Aberto",Tabela_Movimentacao[[#This Row],[Status]]="Prorrogado"),Tabela_Movimentacao[[#This Row],[Valor]],0)</f>
        <v>0</v>
      </c>
      <c r="V53" s="219">
        <f ca="1">IF(Tabela_Movimentacao[[#This Row],[Status]]="Cancelado","",IF(Tabela_Movimentacao[[#This Row],[Status]]&lt;&gt;"Pago","",Tabela_Movimentacao[[#This Row],[Valor]]))</f>
        <v>1966</v>
      </c>
    </row>
    <row r="54" spans="1:22" ht="35.5" hidden="1" customHeight="1" x14ac:dyDescent="0.35">
      <c r="A54" s="222" t="str">
        <f t="shared" si="2"/>
        <v>E44</v>
      </c>
      <c r="B54" s="223" t="str">
        <f t="shared" si="1"/>
        <v>FILE</v>
      </c>
      <c r="C54" s="224" t="s">
        <v>56</v>
      </c>
      <c r="D54" s="225" t="s">
        <v>49</v>
      </c>
      <c r="E54" s="226" t="s">
        <v>50</v>
      </c>
      <c r="F54" s="227" t="s">
        <v>221</v>
      </c>
      <c r="G54" s="228">
        <v>44133</v>
      </c>
      <c r="H54" s="229" t="s">
        <v>63</v>
      </c>
      <c r="I54" s="225" t="s">
        <v>329</v>
      </c>
      <c r="J54" s="225" t="s">
        <v>327</v>
      </c>
      <c r="K54" s="230">
        <v>1966</v>
      </c>
      <c r="L54" s="228">
        <v>44133</v>
      </c>
      <c r="M54" s="229" t="s">
        <v>47</v>
      </c>
      <c r="N54" s="229"/>
      <c r="O54" s="228"/>
      <c r="P54" s="228">
        <v>44133</v>
      </c>
      <c r="Q5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44133</v>
      </c>
      <c r="S5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-1966</v>
      </c>
      <c r="U54" s="235">
        <f ca="1">IF(OR(Tabela_Movimentacao[[#This Row],[Status]]="Em Aberto",Tabela_Movimentacao[[#This Row],[Status]]="Prorrogado"),Tabela_Movimentacao[[#This Row],[Valor]],0)</f>
        <v>0</v>
      </c>
      <c r="V54" s="219">
        <f ca="1">IF(Tabela_Movimentacao[[#This Row],[Status]]="Cancelado","",IF(Tabela_Movimentacao[[#This Row],[Status]]&lt;&gt;"Pago","",Tabela_Movimentacao[[#This Row],[Valor]]))</f>
        <v>1966</v>
      </c>
    </row>
    <row r="55" spans="1:22" ht="35.5" hidden="1" customHeight="1" x14ac:dyDescent="0.35">
      <c r="A55" s="222" t="str">
        <f t="shared" si="2"/>
        <v>E45</v>
      </c>
      <c r="B55" s="223" t="str">
        <f t="shared" si="1"/>
        <v>FILE</v>
      </c>
      <c r="C55" s="224" t="s">
        <v>56</v>
      </c>
      <c r="D55" s="225" t="s">
        <v>12</v>
      </c>
      <c r="E55" s="226" t="s">
        <v>55</v>
      </c>
      <c r="F55" s="227" t="s">
        <v>225</v>
      </c>
      <c r="G55" s="228">
        <v>44135</v>
      </c>
      <c r="H55" s="229" t="s">
        <v>222</v>
      </c>
      <c r="I55" s="225" t="s">
        <v>241</v>
      </c>
      <c r="J55" s="225" t="s">
        <v>327</v>
      </c>
      <c r="K55" s="230">
        <v>1250</v>
      </c>
      <c r="L55" s="228">
        <v>44185</v>
      </c>
      <c r="M55" s="229" t="s">
        <v>47</v>
      </c>
      <c r="N55" s="229"/>
      <c r="O55" s="228"/>
      <c r="P55" s="228">
        <v>44186</v>
      </c>
      <c r="Q5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44186</v>
      </c>
      <c r="S5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5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-1250</v>
      </c>
      <c r="U55" s="235">
        <f ca="1">IF(OR(Tabela_Movimentacao[[#This Row],[Status]]="Em Aberto",Tabela_Movimentacao[[#This Row],[Status]]="Prorrogado"),Tabela_Movimentacao[[#This Row],[Valor]],0)</f>
        <v>0</v>
      </c>
      <c r="V55" s="219">
        <f ca="1">IF(Tabela_Movimentacao[[#This Row],[Status]]="Cancelado","",IF(Tabela_Movimentacao[[#This Row],[Status]]&lt;&gt;"Pago","",Tabela_Movimentacao[[#This Row],[Valor]]))</f>
        <v>1250</v>
      </c>
    </row>
    <row r="56" spans="1:22" ht="35.5" hidden="1" customHeight="1" x14ac:dyDescent="0.35">
      <c r="A56" s="222" t="str">
        <f t="shared" si="2"/>
        <v>E46</v>
      </c>
      <c r="B56" s="223" t="str">
        <f t="shared" si="1"/>
        <v>FILE</v>
      </c>
      <c r="C56" s="224" t="s">
        <v>56</v>
      </c>
      <c r="D56" s="225" t="s">
        <v>12</v>
      </c>
      <c r="E56" s="226" t="s">
        <v>55</v>
      </c>
      <c r="F56" s="227" t="s">
        <v>225</v>
      </c>
      <c r="G56" s="228">
        <v>44135</v>
      </c>
      <c r="H56" s="229" t="s">
        <v>222</v>
      </c>
      <c r="I56" s="225" t="s">
        <v>241</v>
      </c>
      <c r="J56" s="225" t="s">
        <v>327</v>
      </c>
      <c r="K56" s="230">
        <v>1250</v>
      </c>
      <c r="L56" s="228">
        <v>44165</v>
      </c>
      <c r="M56" s="229" t="s">
        <v>47</v>
      </c>
      <c r="N56" s="229"/>
      <c r="O56" s="228"/>
      <c r="P56" s="228">
        <v>44165</v>
      </c>
      <c r="Q5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44165</v>
      </c>
      <c r="S5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5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-1250</v>
      </c>
      <c r="U56" s="235">
        <f ca="1">IF(OR(Tabela_Movimentacao[[#This Row],[Status]]="Em Aberto",Tabela_Movimentacao[[#This Row],[Status]]="Prorrogado"),Tabela_Movimentacao[[#This Row],[Valor]],0)</f>
        <v>0</v>
      </c>
      <c r="V56" s="219">
        <f ca="1">IF(Tabela_Movimentacao[[#This Row],[Status]]="Cancelado","",IF(Tabela_Movimentacao[[#This Row],[Status]]&lt;&gt;"Pago","",Tabela_Movimentacao[[#This Row],[Valor]]))</f>
        <v>1250</v>
      </c>
    </row>
    <row r="57" spans="1:22" ht="35.5" hidden="1" customHeight="1" x14ac:dyDescent="0.35">
      <c r="A57" s="222" t="str">
        <f t="shared" si="2"/>
        <v>E47</v>
      </c>
      <c r="B57" s="223" t="str">
        <f t="shared" si="1"/>
        <v>FILE</v>
      </c>
      <c r="C57" s="224" t="s">
        <v>62</v>
      </c>
      <c r="D57" s="225" t="s">
        <v>104</v>
      </c>
      <c r="E57" s="226" t="s">
        <v>59</v>
      </c>
      <c r="F57" s="227" t="s">
        <v>224</v>
      </c>
      <c r="G57" s="228">
        <v>44135</v>
      </c>
      <c r="H57" s="229" t="s">
        <v>65</v>
      </c>
      <c r="I57" s="225" t="s">
        <v>222</v>
      </c>
      <c r="J57" s="225" t="s">
        <v>327</v>
      </c>
      <c r="K57" s="230">
        <v>1700</v>
      </c>
      <c r="L57" s="228">
        <v>44135</v>
      </c>
      <c r="M57" s="229" t="s">
        <v>47</v>
      </c>
      <c r="N57" s="229"/>
      <c r="O57" s="228"/>
      <c r="P57" s="228">
        <v>44135</v>
      </c>
      <c r="Q5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44138</v>
      </c>
      <c r="S5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1700</v>
      </c>
      <c r="U57" s="235">
        <f ca="1">IF(OR(Tabela_Movimentacao[[#This Row],[Status]]="Em Aberto",Tabela_Movimentacao[[#This Row],[Status]]="Prorrogado"),Tabela_Movimentacao[[#This Row],[Valor]],0)</f>
        <v>0</v>
      </c>
      <c r="V57" s="219">
        <f ca="1">IF(Tabela_Movimentacao[[#This Row],[Status]]="Cancelado","",IF(Tabela_Movimentacao[[#This Row],[Status]]&lt;&gt;"Pago","",Tabela_Movimentacao[[#This Row],[Valor]]))</f>
        <v>1700</v>
      </c>
    </row>
    <row r="58" spans="1:22" ht="35.5" hidden="1" customHeight="1" x14ac:dyDescent="0.35">
      <c r="A58" s="222" t="str">
        <f t="shared" si="2"/>
        <v>E48</v>
      </c>
      <c r="B58" s="223" t="str">
        <f t="shared" si="1"/>
        <v>FILE</v>
      </c>
      <c r="C58" s="224" t="s">
        <v>56</v>
      </c>
      <c r="D58" s="225" t="s">
        <v>12</v>
      </c>
      <c r="E58" s="226" t="s">
        <v>55</v>
      </c>
      <c r="F58" s="227" t="s">
        <v>224</v>
      </c>
      <c r="G58" s="228">
        <v>44135</v>
      </c>
      <c r="H58" s="229" t="s">
        <v>65</v>
      </c>
      <c r="I58" s="225" t="s">
        <v>241</v>
      </c>
      <c r="J58" s="225" t="s">
        <v>327</v>
      </c>
      <c r="K58" s="230">
        <v>1700</v>
      </c>
      <c r="L58" s="228">
        <v>44135</v>
      </c>
      <c r="M58" s="229" t="s">
        <v>47</v>
      </c>
      <c r="N58" s="229"/>
      <c r="O58" s="228"/>
      <c r="P58" s="228">
        <v>44135</v>
      </c>
      <c r="Q5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44138</v>
      </c>
      <c r="S5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44105</v>
      </c>
      <c r="T5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-1700</v>
      </c>
      <c r="U58" s="235">
        <f ca="1">IF(OR(Tabela_Movimentacao[[#This Row],[Status]]="Em Aberto",Tabela_Movimentacao[[#This Row],[Status]]="Prorrogado"),Tabela_Movimentacao[[#This Row],[Valor]],0)</f>
        <v>0</v>
      </c>
      <c r="V58" s="219">
        <f ca="1">IF(Tabela_Movimentacao[[#This Row],[Status]]="Cancelado","",IF(Tabela_Movimentacao[[#This Row],[Status]]&lt;&gt;"Pago","",Tabela_Movimentacao[[#This Row],[Valor]]))</f>
        <v>1700</v>
      </c>
    </row>
    <row r="59" spans="1:22" ht="35.5" hidden="1" customHeight="1" x14ac:dyDescent="0.35">
      <c r="A59" s="222" t="str">
        <f t="shared" si="2"/>
        <v>E49</v>
      </c>
      <c r="B59" s="223" t="str">
        <f t="shared" si="1"/>
        <v>FILE</v>
      </c>
      <c r="C59" s="224" t="s">
        <v>62</v>
      </c>
      <c r="D59" s="225" t="s">
        <v>104</v>
      </c>
      <c r="E59" s="226" t="s">
        <v>59</v>
      </c>
      <c r="F59" s="227" t="s">
        <v>236</v>
      </c>
      <c r="G59" s="228">
        <v>44139</v>
      </c>
      <c r="H59" s="229" t="s">
        <v>63</v>
      </c>
      <c r="I59" s="225" t="s">
        <v>222</v>
      </c>
      <c r="J59" s="225" t="s">
        <v>327</v>
      </c>
      <c r="K59" s="230">
        <v>1614</v>
      </c>
      <c r="L59" s="228">
        <v>44139</v>
      </c>
      <c r="M59" s="229" t="s">
        <v>47</v>
      </c>
      <c r="N59" s="229"/>
      <c r="O59" s="228"/>
      <c r="P59" s="228">
        <v>44139</v>
      </c>
      <c r="Q5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5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5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5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1614</v>
      </c>
      <c r="U59" s="235">
        <f ca="1">IF(OR(Tabela_Movimentacao[[#This Row],[Status]]="Em Aberto",Tabela_Movimentacao[[#This Row],[Status]]="Prorrogado"),Tabela_Movimentacao[[#This Row],[Valor]],0)</f>
        <v>0</v>
      </c>
      <c r="V59" s="219">
        <f ca="1">IF(Tabela_Movimentacao[[#This Row],[Status]]="Cancelado","",IF(Tabela_Movimentacao[[#This Row],[Status]]&lt;&gt;"Pago","",Tabela_Movimentacao[[#This Row],[Valor]]))</f>
        <v>1614</v>
      </c>
    </row>
    <row r="60" spans="1:22" ht="35.5" hidden="1" customHeight="1" x14ac:dyDescent="0.35">
      <c r="A60" s="222" t="str">
        <f t="shared" si="2"/>
        <v>E50</v>
      </c>
      <c r="B60" s="223" t="str">
        <f t="shared" si="1"/>
        <v>FILE</v>
      </c>
      <c r="C60" s="224" t="s">
        <v>62</v>
      </c>
      <c r="D60" s="225" t="s">
        <v>104</v>
      </c>
      <c r="E60" s="226" t="s">
        <v>59</v>
      </c>
      <c r="F60" s="227" t="s">
        <v>236</v>
      </c>
      <c r="G60" s="228">
        <v>44139</v>
      </c>
      <c r="H60" s="229" t="s">
        <v>65</v>
      </c>
      <c r="I60" s="225" t="s">
        <v>222</v>
      </c>
      <c r="J60" s="225" t="s">
        <v>327</v>
      </c>
      <c r="K60" s="230">
        <v>1614</v>
      </c>
      <c r="L60" s="228">
        <v>44139</v>
      </c>
      <c r="M60" s="229" t="s">
        <v>47</v>
      </c>
      <c r="N60" s="229"/>
      <c r="O60" s="228"/>
      <c r="P60" s="228">
        <v>44139</v>
      </c>
      <c r="Q6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6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1614</v>
      </c>
      <c r="U60" s="235">
        <f ca="1">IF(OR(Tabela_Movimentacao[[#This Row],[Status]]="Em Aberto",Tabela_Movimentacao[[#This Row],[Status]]="Prorrogado"),Tabela_Movimentacao[[#This Row],[Valor]],0)</f>
        <v>0</v>
      </c>
      <c r="V60" s="219">
        <f ca="1">IF(Tabela_Movimentacao[[#This Row],[Status]]="Cancelado","",IF(Tabela_Movimentacao[[#This Row],[Status]]&lt;&gt;"Pago","",Tabela_Movimentacao[[#This Row],[Valor]]))</f>
        <v>1614</v>
      </c>
    </row>
    <row r="61" spans="1:22" ht="35.5" hidden="1" customHeight="1" x14ac:dyDescent="0.35">
      <c r="A61" s="222" t="str">
        <f t="shared" si="2"/>
        <v>E51</v>
      </c>
      <c r="B61" s="223" t="str">
        <f t="shared" si="1"/>
        <v>FILE</v>
      </c>
      <c r="C61" s="224" t="s">
        <v>56</v>
      </c>
      <c r="D61" s="225" t="s">
        <v>49</v>
      </c>
      <c r="E61" s="226" t="s">
        <v>50</v>
      </c>
      <c r="F61" s="227" t="s">
        <v>236</v>
      </c>
      <c r="G61" s="228">
        <v>44139</v>
      </c>
      <c r="H61" s="229" t="s">
        <v>63</v>
      </c>
      <c r="I61" s="225" t="s">
        <v>329</v>
      </c>
      <c r="J61" s="225" t="s">
        <v>327</v>
      </c>
      <c r="K61" s="230">
        <v>1614</v>
      </c>
      <c r="L61" s="228">
        <v>44139</v>
      </c>
      <c r="M61" s="229" t="s">
        <v>47</v>
      </c>
      <c r="N61" s="229"/>
      <c r="O61" s="228"/>
      <c r="P61" s="228">
        <v>44139</v>
      </c>
      <c r="Q6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6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-1614</v>
      </c>
      <c r="U61" s="235">
        <f ca="1">IF(OR(Tabela_Movimentacao[[#This Row],[Status]]="Em Aberto",Tabela_Movimentacao[[#This Row],[Status]]="Prorrogado"),Tabela_Movimentacao[[#This Row],[Valor]],0)</f>
        <v>0</v>
      </c>
      <c r="V61" s="219">
        <f ca="1">IF(Tabela_Movimentacao[[#This Row],[Status]]="Cancelado","",IF(Tabela_Movimentacao[[#This Row],[Status]]&lt;&gt;"Pago","",Tabela_Movimentacao[[#This Row],[Valor]]))</f>
        <v>1614</v>
      </c>
    </row>
    <row r="62" spans="1:22" ht="35.5" hidden="1" customHeight="1" x14ac:dyDescent="0.35">
      <c r="A62" s="222" t="str">
        <f t="shared" si="2"/>
        <v>E52</v>
      </c>
      <c r="B62" s="223" t="str">
        <f t="shared" si="1"/>
        <v>FILE</v>
      </c>
      <c r="C62" s="224" t="s">
        <v>56</v>
      </c>
      <c r="D62" s="225" t="s">
        <v>49</v>
      </c>
      <c r="E62" s="226" t="s">
        <v>50</v>
      </c>
      <c r="F62" s="227" t="s">
        <v>236</v>
      </c>
      <c r="G62" s="228">
        <v>44139</v>
      </c>
      <c r="H62" s="229" t="s">
        <v>65</v>
      </c>
      <c r="I62" s="225" t="s">
        <v>329</v>
      </c>
      <c r="J62" s="225" t="s">
        <v>327</v>
      </c>
      <c r="K62" s="230">
        <v>1614</v>
      </c>
      <c r="L62" s="228">
        <v>44139</v>
      </c>
      <c r="M62" s="229" t="s">
        <v>47</v>
      </c>
      <c r="N62" s="229"/>
      <c r="O62" s="228"/>
      <c r="P62" s="228">
        <v>44139</v>
      </c>
      <c r="Q6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6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-1614</v>
      </c>
      <c r="U62" s="235">
        <f ca="1">IF(OR(Tabela_Movimentacao[[#This Row],[Status]]="Em Aberto",Tabela_Movimentacao[[#This Row],[Status]]="Prorrogado"),Tabela_Movimentacao[[#This Row],[Valor]],0)</f>
        <v>0</v>
      </c>
      <c r="V62" s="219">
        <f ca="1">IF(Tabela_Movimentacao[[#This Row],[Status]]="Cancelado","",IF(Tabela_Movimentacao[[#This Row],[Status]]&lt;&gt;"Pago","",Tabela_Movimentacao[[#This Row],[Valor]]))</f>
        <v>1614</v>
      </c>
    </row>
    <row r="63" spans="1:22" ht="35.5" hidden="1" customHeight="1" x14ac:dyDescent="0.35">
      <c r="A63" s="222" t="str">
        <f t="shared" si="2"/>
        <v>E53</v>
      </c>
      <c r="B63" s="223" t="str">
        <f t="shared" si="1"/>
        <v>FILE</v>
      </c>
      <c r="C63" s="224" t="s">
        <v>56</v>
      </c>
      <c r="D63" s="225" t="s">
        <v>49</v>
      </c>
      <c r="E63" s="226" t="s">
        <v>50</v>
      </c>
      <c r="F63" s="227" t="s">
        <v>238</v>
      </c>
      <c r="G63" s="228">
        <v>44139</v>
      </c>
      <c r="H63" s="229" t="s">
        <v>64</v>
      </c>
      <c r="I63" s="225" t="s">
        <v>171</v>
      </c>
      <c r="J63" s="225" t="s">
        <v>327</v>
      </c>
      <c r="K63" s="230">
        <v>200</v>
      </c>
      <c r="L63" s="228">
        <v>44168</v>
      </c>
      <c r="M63" s="229" t="s">
        <v>47</v>
      </c>
      <c r="N63" s="229"/>
      <c r="O63" s="228"/>
      <c r="P63" s="228">
        <v>44168</v>
      </c>
      <c r="Q6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44168</v>
      </c>
      <c r="S6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6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-200</v>
      </c>
      <c r="U63" s="235">
        <f ca="1">IF(OR(Tabela_Movimentacao[[#This Row],[Status]]="Em Aberto",Tabela_Movimentacao[[#This Row],[Status]]="Prorrogado"),Tabela_Movimentacao[[#This Row],[Valor]],0)</f>
        <v>0</v>
      </c>
      <c r="V63" s="219">
        <f ca="1">IF(Tabela_Movimentacao[[#This Row],[Status]]="Cancelado","",IF(Tabela_Movimentacao[[#This Row],[Status]]&lt;&gt;"Pago","",Tabela_Movimentacao[[#This Row],[Valor]]))</f>
        <v>200</v>
      </c>
    </row>
    <row r="64" spans="1:22" ht="35.5" hidden="1" customHeight="1" x14ac:dyDescent="0.35">
      <c r="A64" s="222" t="str">
        <f t="shared" si="2"/>
        <v>E54</v>
      </c>
      <c r="B64" s="223" t="str">
        <f t="shared" si="1"/>
        <v>FILE</v>
      </c>
      <c r="C64" s="224" t="s">
        <v>56</v>
      </c>
      <c r="D64" s="225" t="s">
        <v>49</v>
      </c>
      <c r="E64" s="226" t="s">
        <v>50</v>
      </c>
      <c r="F64" s="227" t="s">
        <v>238</v>
      </c>
      <c r="G64" s="228">
        <v>44139</v>
      </c>
      <c r="H64" s="229" t="s">
        <v>64</v>
      </c>
      <c r="I64" s="225" t="s">
        <v>171</v>
      </c>
      <c r="J64" s="225" t="s">
        <v>327</v>
      </c>
      <c r="K64" s="230">
        <v>200</v>
      </c>
      <c r="L64" s="228">
        <v>44141</v>
      </c>
      <c r="M64" s="229" t="s">
        <v>47</v>
      </c>
      <c r="N64" s="229"/>
      <c r="O64" s="228"/>
      <c r="P64" s="228">
        <v>44142</v>
      </c>
      <c r="Q6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44141</v>
      </c>
      <c r="S6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-200</v>
      </c>
      <c r="U64" s="235">
        <f ca="1">IF(OR(Tabela_Movimentacao[[#This Row],[Status]]="Em Aberto",Tabela_Movimentacao[[#This Row],[Status]]="Prorrogado"),Tabela_Movimentacao[[#This Row],[Valor]],0)</f>
        <v>0</v>
      </c>
      <c r="V64" s="219">
        <f ca="1">IF(Tabela_Movimentacao[[#This Row],[Status]]="Cancelado","",IF(Tabela_Movimentacao[[#This Row],[Status]]&lt;&gt;"Pago","",Tabela_Movimentacao[[#This Row],[Valor]]))</f>
        <v>200</v>
      </c>
    </row>
    <row r="65" spans="1:22" ht="35.5" hidden="1" customHeight="1" x14ac:dyDescent="0.35">
      <c r="A65" s="222" t="str">
        <f t="shared" si="2"/>
        <v>E55</v>
      </c>
      <c r="B65" s="223" t="str">
        <f t="shared" si="1"/>
        <v>FILE</v>
      </c>
      <c r="C65" s="224" t="s">
        <v>62</v>
      </c>
      <c r="D65" s="225" t="s">
        <v>104</v>
      </c>
      <c r="E65" s="226" t="s">
        <v>59</v>
      </c>
      <c r="F65" s="227" t="s">
        <v>235</v>
      </c>
      <c r="G65" s="228">
        <v>44139</v>
      </c>
      <c r="H65" s="229" t="s">
        <v>64</v>
      </c>
      <c r="I65" s="225" t="s">
        <v>222</v>
      </c>
      <c r="J65" s="225" t="s">
        <v>327</v>
      </c>
      <c r="K65" s="230">
        <v>3228</v>
      </c>
      <c r="L65" s="228">
        <v>44139</v>
      </c>
      <c r="M65" s="229" t="s">
        <v>47</v>
      </c>
      <c r="N65" s="229"/>
      <c r="O65" s="228"/>
      <c r="P65" s="228">
        <v>44139</v>
      </c>
      <c r="Q6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6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3228</v>
      </c>
      <c r="U65" s="235">
        <f ca="1">IF(OR(Tabela_Movimentacao[[#This Row],[Status]]="Em Aberto",Tabela_Movimentacao[[#This Row],[Status]]="Prorrogado"),Tabela_Movimentacao[[#This Row],[Valor]],0)</f>
        <v>0</v>
      </c>
      <c r="V65" s="219">
        <f ca="1">IF(Tabela_Movimentacao[[#This Row],[Status]]="Cancelado","",IF(Tabela_Movimentacao[[#This Row],[Status]]&lt;&gt;"Pago","",Tabela_Movimentacao[[#This Row],[Valor]]))</f>
        <v>3228</v>
      </c>
    </row>
    <row r="66" spans="1:22" ht="35.5" hidden="1" customHeight="1" x14ac:dyDescent="0.35">
      <c r="A66" s="222" t="str">
        <f t="shared" si="2"/>
        <v>E56</v>
      </c>
      <c r="B66" s="223" t="str">
        <f t="shared" si="1"/>
        <v>FILE</v>
      </c>
      <c r="C66" s="224" t="s">
        <v>56</v>
      </c>
      <c r="D66" s="225" t="s">
        <v>49</v>
      </c>
      <c r="E66" s="226" t="s">
        <v>50</v>
      </c>
      <c r="F66" s="227" t="s">
        <v>235</v>
      </c>
      <c r="G66" s="228">
        <v>44139</v>
      </c>
      <c r="H66" s="229" t="s">
        <v>64</v>
      </c>
      <c r="I66" s="225" t="s">
        <v>329</v>
      </c>
      <c r="J66" s="225" t="s">
        <v>327</v>
      </c>
      <c r="K66" s="230">
        <v>3228</v>
      </c>
      <c r="L66" s="228">
        <v>44139</v>
      </c>
      <c r="M66" s="229" t="s">
        <v>47</v>
      </c>
      <c r="N66" s="229"/>
      <c r="O66" s="228"/>
      <c r="P66" s="228">
        <v>44139</v>
      </c>
      <c r="Q6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6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-3228</v>
      </c>
      <c r="U66" s="235">
        <f ca="1">IF(OR(Tabela_Movimentacao[[#This Row],[Status]]="Em Aberto",Tabela_Movimentacao[[#This Row],[Status]]="Prorrogado"),Tabela_Movimentacao[[#This Row],[Valor]],0)</f>
        <v>0</v>
      </c>
      <c r="V66" s="219">
        <f ca="1">IF(Tabela_Movimentacao[[#This Row],[Status]]="Cancelado","",IF(Tabela_Movimentacao[[#This Row],[Status]]&lt;&gt;"Pago","",Tabela_Movimentacao[[#This Row],[Valor]]))</f>
        <v>3228</v>
      </c>
    </row>
    <row r="67" spans="1:22" ht="35.5" hidden="1" customHeight="1" x14ac:dyDescent="0.35">
      <c r="A67" s="222" t="str">
        <f t="shared" si="2"/>
        <v>E57</v>
      </c>
      <c r="B67" s="223" t="str">
        <f t="shared" si="1"/>
        <v>FILE</v>
      </c>
      <c r="C67" s="224" t="s">
        <v>56</v>
      </c>
      <c r="D67" s="225" t="s">
        <v>12</v>
      </c>
      <c r="E67" s="226" t="s">
        <v>55</v>
      </c>
      <c r="F67" s="227" t="s">
        <v>239</v>
      </c>
      <c r="G67" s="228">
        <v>44139</v>
      </c>
      <c r="H67" s="229" t="s">
        <v>222</v>
      </c>
      <c r="I67" s="225" t="s">
        <v>241</v>
      </c>
      <c r="J67" s="225" t="s">
        <v>327</v>
      </c>
      <c r="K67" s="230">
        <v>1900</v>
      </c>
      <c r="L67" s="228">
        <v>44170</v>
      </c>
      <c r="M67" s="229" t="s">
        <v>47</v>
      </c>
      <c r="N67" s="229"/>
      <c r="O67" s="228"/>
      <c r="P67" s="228">
        <v>44172</v>
      </c>
      <c r="Q6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44172</v>
      </c>
      <c r="S6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6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-1900</v>
      </c>
      <c r="U67" s="235">
        <f ca="1">IF(OR(Tabela_Movimentacao[[#This Row],[Status]]="Em Aberto",Tabela_Movimentacao[[#This Row],[Status]]="Prorrogado"),Tabela_Movimentacao[[#This Row],[Valor]],0)</f>
        <v>0</v>
      </c>
      <c r="V67" s="219">
        <f ca="1">IF(Tabela_Movimentacao[[#This Row],[Status]]="Cancelado","",IF(Tabela_Movimentacao[[#This Row],[Status]]&lt;&gt;"Pago","",Tabela_Movimentacao[[#This Row],[Valor]]))</f>
        <v>1900</v>
      </c>
    </row>
    <row r="68" spans="1:22" ht="35.5" hidden="1" customHeight="1" x14ac:dyDescent="0.35">
      <c r="A68" s="222" t="str">
        <f t="shared" si="2"/>
        <v>E58</v>
      </c>
      <c r="B68" s="223" t="str">
        <f t="shared" si="1"/>
        <v>FILE</v>
      </c>
      <c r="C68" s="224" t="s">
        <v>56</v>
      </c>
      <c r="D68" s="225" t="s">
        <v>12</v>
      </c>
      <c r="E68" s="226" t="s">
        <v>55</v>
      </c>
      <c r="F68" s="227" t="s">
        <v>239</v>
      </c>
      <c r="G68" s="228">
        <v>44139</v>
      </c>
      <c r="H68" s="229" t="s">
        <v>64</v>
      </c>
      <c r="I68" s="225" t="s">
        <v>241</v>
      </c>
      <c r="J68" s="225" t="s">
        <v>327</v>
      </c>
      <c r="K68" s="230">
        <v>1900</v>
      </c>
      <c r="L68" s="228">
        <v>44140</v>
      </c>
      <c r="M68" s="229" t="s">
        <v>47</v>
      </c>
      <c r="N68" s="229"/>
      <c r="O68" s="228"/>
      <c r="P68" s="228">
        <v>44140</v>
      </c>
      <c r="Q6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6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6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-1900</v>
      </c>
      <c r="U68" s="235">
        <f ca="1">IF(OR(Tabela_Movimentacao[[#This Row],[Status]]="Em Aberto",Tabela_Movimentacao[[#This Row],[Status]]="Prorrogado"),Tabela_Movimentacao[[#This Row],[Valor]],0)</f>
        <v>0</v>
      </c>
      <c r="V68" s="219">
        <f ca="1">IF(Tabela_Movimentacao[[#This Row],[Status]]="Cancelado","",IF(Tabela_Movimentacao[[#This Row],[Status]]&lt;&gt;"Pago","",Tabela_Movimentacao[[#This Row],[Valor]]))</f>
        <v>1900</v>
      </c>
    </row>
    <row r="69" spans="1:22" ht="35.5" hidden="1" customHeight="1" x14ac:dyDescent="0.35">
      <c r="A69" s="222" t="str">
        <f t="shared" si="2"/>
        <v>E59</v>
      </c>
      <c r="B69" s="223" t="str">
        <f t="shared" si="1"/>
        <v>FILE</v>
      </c>
      <c r="C69" s="224" t="s">
        <v>56</v>
      </c>
      <c r="D69" s="225" t="s">
        <v>49</v>
      </c>
      <c r="E69" s="226" t="s">
        <v>50</v>
      </c>
      <c r="F69" s="227" t="s">
        <v>237</v>
      </c>
      <c r="G69" s="228">
        <v>44139</v>
      </c>
      <c r="H69" s="229" t="s">
        <v>64</v>
      </c>
      <c r="I69" s="225" t="s">
        <v>171</v>
      </c>
      <c r="J69" s="225" t="s">
        <v>327</v>
      </c>
      <c r="K69" s="230">
        <v>1300</v>
      </c>
      <c r="L69" s="228">
        <v>44168</v>
      </c>
      <c r="M69" s="229" t="s">
        <v>47</v>
      </c>
      <c r="N69" s="229"/>
      <c r="O69" s="228"/>
      <c r="P69" s="228">
        <v>44168</v>
      </c>
      <c r="Q6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6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44168</v>
      </c>
      <c r="S6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6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-1300</v>
      </c>
      <c r="U69" s="235">
        <f ca="1">IF(OR(Tabela_Movimentacao[[#This Row],[Status]]="Em Aberto",Tabela_Movimentacao[[#This Row],[Status]]="Prorrogado"),Tabela_Movimentacao[[#This Row],[Valor]],0)</f>
        <v>0</v>
      </c>
      <c r="V69" s="219">
        <f ca="1">IF(Tabela_Movimentacao[[#This Row],[Status]]="Cancelado","",IF(Tabela_Movimentacao[[#This Row],[Status]]&lt;&gt;"Pago","",Tabela_Movimentacao[[#This Row],[Valor]]))</f>
        <v>1300</v>
      </c>
    </row>
    <row r="70" spans="1:22" ht="35.5" hidden="1" customHeight="1" x14ac:dyDescent="0.35">
      <c r="A70" s="222" t="str">
        <f t="shared" si="2"/>
        <v>E60</v>
      </c>
      <c r="B70" s="223" t="str">
        <f t="shared" si="1"/>
        <v>FILE</v>
      </c>
      <c r="C70" s="224" t="s">
        <v>62</v>
      </c>
      <c r="D70" s="225" t="s">
        <v>104</v>
      </c>
      <c r="E70" s="226" t="s">
        <v>59</v>
      </c>
      <c r="F70" s="227" t="s">
        <v>234</v>
      </c>
      <c r="G70" s="228">
        <v>44139</v>
      </c>
      <c r="H70" s="229" t="s">
        <v>64</v>
      </c>
      <c r="I70" s="225" t="s">
        <v>222</v>
      </c>
      <c r="J70" s="225" t="s">
        <v>327</v>
      </c>
      <c r="K70" s="230">
        <v>100</v>
      </c>
      <c r="L70" s="228">
        <v>44139</v>
      </c>
      <c r="M70" s="229" t="s">
        <v>105</v>
      </c>
      <c r="N70" s="229"/>
      <c r="O70" s="228"/>
      <c r="P70" s="228">
        <v>44139</v>
      </c>
      <c r="Q7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7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</v>
      </c>
      <c r="U70" s="235">
        <f ca="1">IF(OR(Tabela_Movimentacao[[#This Row],[Status]]="Em Aberto",Tabela_Movimentacao[[#This Row],[Status]]="Prorrogado"),Tabela_Movimentacao[[#This Row],[Valor]],0)</f>
        <v>0</v>
      </c>
      <c r="V70" s="219">
        <f ca="1">IF(Tabela_Movimentacao[[#This Row],[Status]]="Cancelado","",IF(Tabela_Movimentacao[[#This Row],[Status]]&lt;&gt;"Pago","",Tabela_Movimentacao[[#This Row],[Valor]]))</f>
        <v>100</v>
      </c>
    </row>
    <row r="71" spans="1:22" ht="35.5" hidden="1" customHeight="1" x14ac:dyDescent="0.35">
      <c r="A71" s="222" t="str">
        <f t="shared" si="2"/>
        <v>E61</v>
      </c>
      <c r="B71" s="223" t="str">
        <f t="shared" si="1"/>
        <v>FILE</v>
      </c>
      <c r="C71" s="224" t="s">
        <v>56</v>
      </c>
      <c r="D71" s="225" t="s">
        <v>34</v>
      </c>
      <c r="E71" s="226" t="s">
        <v>15</v>
      </c>
      <c r="F71" s="227" t="s">
        <v>234</v>
      </c>
      <c r="G71" s="228">
        <v>44139</v>
      </c>
      <c r="H71" s="229" t="s">
        <v>64</v>
      </c>
      <c r="I71" s="225" t="s">
        <v>232</v>
      </c>
      <c r="J71" s="225" t="s">
        <v>327</v>
      </c>
      <c r="K71" s="230">
        <v>100</v>
      </c>
      <c r="L71" s="228">
        <v>44139</v>
      </c>
      <c r="M71" s="229" t="s">
        <v>105</v>
      </c>
      <c r="N71" s="229"/>
      <c r="O71" s="228"/>
      <c r="P71" s="228">
        <v>44139</v>
      </c>
      <c r="Q7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7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</v>
      </c>
      <c r="U71" s="235">
        <f ca="1">IF(OR(Tabela_Movimentacao[[#This Row],[Status]]="Em Aberto",Tabela_Movimentacao[[#This Row],[Status]]="Prorrogado"),Tabela_Movimentacao[[#This Row],[Valor]],0)</f>
        <v>0</v>
      </c>
      <c r="V71" s="219">
        <f ca="1">IF(Tabela_Movimentacao[[#This Row],[Status]]="Cancelado","",IF(Tabela_Movimentacao[[#This Row],[Status]]&lt;&gt;"Pago","",Tabela_Movimentacao[[#This Row],[Valor]]))</f>
        <v>100</v>
      </c>
    </row>
    <row r="72" spans="1:22" ht="35.5" hidden="1" customHeight="1" x14ac:dyDescent="0.35">
      <c r="A72" s="222" t="str">
        <f t="shared" si="2"/>
        <v>E62</v>
      </c>
      <c r="B72" s="223" t="str">
        <f t="shared" si="1"/>
        <v>FILE</v>
      </c>
      <c r="C72" s="224" t="s">
        <v>62</v>
      </c>
      <c r="D72" s="225" t="s">
        <v>104</v>
      </c>
      <c r="E72" s="226" t="s">
        <v>59</v>
      </c>
      <c r="F72" s="227" t="s">
        <v>233</v>
      </c>
      <c r="G72" s="228">
        <v>44139</v>
      </c>
      <c r="H72" s="229" t="s">
        <v>64</v>
      </c>
      <c r="I72" s="225" t="s">
        <v>222</v>
      </c>
      <c r="J72" s="225" t="s">
        <v>327</v>
      </c>
      <c r="K72" s="230">
        <v>100</v>
      </c>
      <c r="L72" s="228">
        <v>44139</v>
      </c>
      <c r="M72" s="229" t="s">
        <v>105</v>
      </c>
      <c r="N72" s="229"/>
      <c r="O72" s="228"/>
      <c r="P72" s="228">
        <v>44139</v>
      </c>
      <c r="Q7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7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</v>
      </c>
      <c r="U72" s="235">
        <f ca="1">IF(OR(Tabela_Movimentacao[[#This Row],[Status]]="Em Aberto",Tabela_Movimentacao[[#This Row],[Status]]="Prorrogado"),Tabela_Movimentacao[[#This Row],[Valor]],0)</f>
        <v>0</v>
      </c>
      <c r="V72" s="219">
        <f ca="1">IF(Tabela_Movimentacao[[#This Row],[Status]]="Cancelado","",IF(Tabela_Movimentacao[[#This Row],[Status]]&lt;&gt;"Pago","",Tabela_Movimentacao[[#This Row],[Valor]]))</f>
        <v>100</v>
      </c>
    </row>
    <row r="73" spans="1:22" ht="35.5" hidden="1" customHeight="1" x14ac:dyDescent="0.35">
      <c r="A73" s="222" t="str">
        <f t="shared" si="2"/>
        <v>E63</v>
      </c>
      <c r="B73" s="223" t="str">
        <f t="shared" si="1"/>
        <v>FILE</v>
      </c>
      <c r="C73" s="224" t="s">
        <v>56</v>
      </c>
      <c r="D73" s="225" t="s">
        <v>34</v>
      </c>
      <c r="E73" s="226" t="s">
        <v>15</v>
      </c>
      <c r="F73" s="227" t="s">
        <v>233</v>
      </c>
      <c r="G73" s="228">
        <v>44139</v>
      </c>
      <c r="H73" s="229" t="s">
        <v>64</v>
      </c>
      <c r="I73" s="225" t="s">
        <v>232</v>
      </c>
      <c r="J73" s="225" t="s">
        <v>327</v>
      </c>
      <c r="K73" s="230">
        <v>100</v>
      </c>
      <c r="L73" s="228">
        <v>44139</v>
      </c>
      <c r="M73" s="229" t="s">
        <v>105</v>
      </c>
      <c r="N73" s="229"/>
      <c r="O73" s="228"/>
      <c r="P73" s="228">
        <v>44139</v>
      </c>
      <c r="Q7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44139</v>
      </c>
      <c r="S7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</v>
      </c>
      <c r="U73" s="235">
        <f ca="1">IF(OR(Tabela_Movimentacao[[#This Row],[Status]]="Em Aberto",Tabela_Movimentacao[[#This Row],[Status]]="Prorrogado"),Tabela_Movimentacao[[#This Row],[Valor]],0)</f>
        <v>0</v>
      </c>
      <c r="V73" s="219">
        <f ca="1">IF(Tabela_Movimentacao[[#This Row],[Status]]="Cancelado","",IF(Tabela_Movimentacao[[#This Row],[Status]]&lt;&gt;"Pago","",Tabela_Movimentacao[[#This Row],[Valor]]))</f>
        <v>100</v>
      </c>
    </row>
    <row r="74" spans="1:22" ht="35.5" hidden="1" customHeight="1" x14ac:dyDescent="0.35">
      <c r="A74" s="222" t="str">
        <f t="shared" si="2"/>
        <v>E64</v>
      </c>
      <c r="B74" s="223" t="str">
        <f t="shared" si="1"/>
        <v>FILE</v>
      </c>
      <c r="C74" s="224" t="s">
        <v>62</v>
      </c>
      <c r="D74" s="225" t="s">
        <v>104</v>
      </c>
      <c r="E74" s="226" t="s">
        <v>59</v>
      </c>
      <c r="F74" s="227" t="s">
        <v>240</v>
      </c>
      <c r="G74" s="228">
        <v>44139</v>
      </c>
      <c r="H74" s="229" t="s">
        <v>65</v>
      </c>
      <c r="I74" s="225" t="s">
        <v>222</v>
      </c>
      <c r="J74" s="225" t="s">
        <v>327</v>
      </c>
      <c r="K74" s="230">
        <v>100</v>
      </c>
      <c r="L74" s="228">
        <v>44140</v>
      </c>
      <c r="M74" s="229" t="s">
        <v>105</v>
      </c>
      <c r="N74" s="229"/>
      <c r="O74" s="228"/>
      <c r="P74" s="228">
        <v>44140</v>
      </c>
      <c r="Q7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</v>
      </c>
      <c r="U74" s="235">
        <f ca="1">IF(OR(Tabela_Movimentacao[[#This Row],[Status]]="Em Aberto",Tabela_Movimentacao[[#This Row],[Status]]="Prorrogado"),Tabela_Movimentacao[[#This Row],[Valor]],0)</f>
        <v>0</v>
      </c>
      <c r="V74" s="219">
        <f ca="1">IF(Tabela_Movimentacao[[#This Row],[Status]]="Cancelado","",IF(Tabela_Movimentacao[[#This Row],[Status]]&lt;&gt;"Pago","",Tabela_Movimentacao[[#This Row],[Valor]]))</f>
        <v>100</v>
      </c>
    </row>
    <row r="75" spans="1:22" ht="35.5" hidden="1" customHeight="1" x14ac:dyDescent="0.35">
      <c r="A75" s="222" t="str">
        <f t="shared" ref="A75:A106" si="3">"E"&amp;ROW()-10</f>
        <v>E65</v>
      </c>
      <c r="B75" s="223" t="str">
        <f t="shared" ref="B75:B138" si="4">"FILE"</f>
        <v>FILE</v>
      </c>
      <c r="C75" s="224" t="s">
        <v>62</v>
      </c>
      <c r="D75" s="225" t="s">
        <v>104</v>
      </c>
      <c r="E75" s="226" t="s">
        <v>59</v>
      </c>
      <c r="F75" s="227" t="s">
        <v>244</v>
      </c>
      <c r="G75" s="228">
        <v>44140</v>
      </c>
      <c r="H75" s="229" t="s">
        <v>64</v>
      </c>
      <c r="I75" s="225" t="s">
        <v>222</v>
      </c>
      <c r="J75" s="225" t="s">
        <v>327</v>
      </c>
      <c r="K75" s="230">
        <v>820</v>
      </c>
      <c r="L75" s="228">
        <v>44140</v>
      </c>
      <c r="M75" s="229" t="s">
        <v>44</v>
      </c>
      <c r="N75" s="229"/>
      <c r="O75" s="228"/>
      <c r="P75" s="228">
        <v>44140</v>
      </c>
      <c r="Q7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820</v>
      </c>
      <c r="U75" s="235">
        <f ca="1">IF(OR(Tabela_Movimentacao[[#This Row],[Status]]="Em Aberto",Tabela_Movimentacao[[#This Row],[Status]]="Prorrogado"),Tabela_Movimentacao[[#This Row],[Valor]],0)</f>
        <v>0</v>
      </c>
      <c r="V75" s="219">
        <f ca="1">IF(Tabela_Movimentacao[[#This Row],[Status]]="Cancelado","",IF(Tabela_Movimentacao[[#This Row],[Status]]&lt;&gt;"Pago","",Tabela_Movimentacao[[#This Row],[Valor]]))</f>
        <v>820</v>
      </c>
    </row>
    <row r="76" spans="1:22" ht="35.5" hidden="1" customHeight="1" x14ac:dyDescent="0.35">
      <c r="A76" s="222" t="str">
        <f t="shared" si="3"/>
        <v>E66</v>
      </c>
      <c r="B76" s="223" t="str">
        <f t="shared" si="4"/>
        <v>FILE</v>
      </c>
      <c r="C76" s="224" t="s">
        <v>56</v>
      </c>
      <c r="D76" s="225" t="s">
        <v>49</v>
      </c>
      <c r="E76" s="226" t="s">
        <v>48</v>
      </c>
      <c r="F76" s="227" t="s">
        <v>244</v>
      </c>
      <c r="G76" s="228">
        <v>44140</v>
      </c>
      <c r="H76" s="229" t="s">
        <v>64</v>
      </c>
      <c r="I76" s="225" t="s">
        <v>381</v>
      </c>
      <c r="J76" s="225" t="s">
        <v>327</v>
      </c>
      <c r="K76" s="230">
        <v>820</v>
      </c>
      <c r="L76" s="228">
        <v>44140</v>
      </c>
      <c r="M76" s="229" t="s">
        <v>44</v>
      </c>
      <c r="N76" s="229"/>
      <c r="O76" s="228"/>
      <c r="P76" s="228">
        <v>44140</v>
      </c>
      <c r="Q7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-820</v>
      </c>
      <c r="U76" s="235">
        <f ca="1">IF(OR(Tabela_Movimentacao[[#This Row],[Status]]="Em Aberto",Tabela_Movimentacao[[#This Row],[Status]]="Prorrogado"),Tabela_Movimentacao[[#This Row],[Valor]],0)</f>
        <v>0</v>
      </c>
      <c r="V76" s="219">
        <f ca="1">IF(Tabela_Movimentacao[[#This Row],[Status]]="Cancelado","",IF(Tabela_Movimentacao[[#This Row],[Status]]&lt;&gt;"Pago","",Tabela_Movimentacao[[#This Row],[Valor]]))</f>
        <v>820</v>
      </c>
    </row>
    <row r="77" spans="1:22" ht="35.5" hidden="1" customHeight="1" x14ac:dyDescent="0.35">
      <c r="A77" s="222" t="str">
        <f t="shared" si="3"/>
        <v>E67</v>
      </c>
      <c r="B77" s="223" t="str">
        <f t="shared" si="4"/>
        <v>FILE</v>
      </c>
      <c r="C77" s="224" t="s">
        <v>62</v>
      </c>
      <c r="D77" s="225" t="s">
        <v>104</v>
      </c>
      <c r="E77" s="226" t="s">
        <v>59</v>
      </c>
      <c r="F77" s="227" t="s">
        <v>243</v>
      </c>
      <c r="G77" s="228">
        <v>44140</v>
      </c>
      <c r="H77" s="229" t="s">
        <v>64</v>
      </c>
      <c r="I77" s="225" t="s">
        <v>222</v>
      </c>
      <c r="J77" s="225" t="s">
        <v>327</v>
      </c>
      <c r="K77" s="230">
        <v>170</v>
      </c>
      <c r="L77" s="228">
        <v>44140</v>
      </c>
      <c r="M77" s="229" t="s">
        <v>44</v>
      </c>
      <c r="N77" s="229"/>
      <c r="O77" s="228"/>
      <c r="P77" s="228">
        <v>44140</v>
      </c>
      <c r="Q7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170</v>
      </c>
      <c r="U77" s="235">
        <f ca="1">IF(OR(Tabela_Movimentacao[[#This Row],[Status]]="Em Aberto",Tabela_Movimentacao[[#This Row],[Status]]="Prorrogado"),Tabela_Movimentacao[[#This Row],[Valor]],0)</f>
        <v>0</v>
      </c>
      <c r="V77" s="219">
        <f ca="1">IF(Tabela_Movimentacao[[#This Row],[Status]]="Cancelado","",IF(Tabela_Movimentacao[[#This Row],[Status]]&lt;&gt;"Pago","",Tabela_Movimentacao[[#This Row],[Valor]]))</f>
        <v>170</v>
      </c>
    </row>
    <row r="78" spans="1:22" ht="35.5" hidden="1" customHeight="1" x14ac:dyDescent="0.35">
      <c r="A78" s="222" t="str">
        <f t="shared" si="3"/>
        <v>E68</v>
      </c>
      <c r="B78" s="223" t="str">
        <f t="shared" si="4"/>
        <v>FILE</v>
      </c>
      <c r="C78" s="224" t="s">
        <v>62</v>
      </c>
      <c r="D78" s="225" t="s">
        <v>104</v>
      </c>
      <c r="E78" s="226" t="s">
        <v>59</v>
      </c>
      <c r="F78" s="227" t="s">
        <v>239</v>
      </c>
      <c r="G78" s="228">
        <v>44140</v>
      </c>
      <c r="H78" s="229" t="s">
        <v>64</v>
      </c>
      <c r="I78" s="225" t="s">
        <v>222</v>
      </c>
      <c r="J78" s="225" t="s">
        <v>327</v>
      </c>
      <c r="K78" s="230">
        <v>1900</v>
      </c>
      <c r="L78" s="228">
        <v>44140</v>
      </c>
      <c r="M78" s="229" t="s">
        <v>47</v>
      </c>
      <c r="N78" s="229"/>
      <c r="O78" s="228"/>
      <c r="P78" s="228">
        <v>44140</v>
      </c>
      <c r="Q7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1900</v>
      </c>
      <c r="U78" s="235">
        <f ca="1">IF(OR(Tabela_Movimentacao[[#This Row],[Status]]="Em Aberto",Tabela_Movimentacao[[#This Row],[Status]]="Prorrogado"),Tabela_Movimentacao[[#This Row],[Valor]],0)</f>
        <v>0</v>
      </c>
      <c r="V78" s="219">
        <f ca="1">IF(Tabela_Movimentacao[[#This Row],[Status]]="Cancelado","",IF(Tabela_Movimentacao[[#This Row],[Status]]&lt;&gt;"Pago","",Tabela_Movimentacao[[#This Row],[Valor]]))</f>
        <v>1900</v>
      </c>
    </row>
    <row r="79" spans="1:22" ht="35.5" hidden="1" customHeight="1" x14ac:dyDescent="0.35">
      <c r="A79" s="222" t="str">
        <f t="shared" si="3"/>
        <v>E69</v>
      </c>
      <c r="B79" s="223" t="str">
        <f t="shared" si="4"/>
        <v>FILE</v>
      </c>
      <c r="C79" s="224" t="s">
        <v>56</v>
      </c>
      <c r="D79" s="225" t="s">
        <v>11</v>
      </c>
      <c r="E79" s="226" t="s">
        <v>72</v>
      </c>
      <c r="F79" s="227" t="s">
        <v>247</v>
      </c>
      <c r="G79" s="228">
        <v>44140</v>
      </c>
      <c r="H79" s="229" t="s">
        <v>63</v>
      </c>
      <c r="I79" s="225" t="s">
        <v>64</v>
      </c>
      <c r="J79" s="225" t="s">
        <v>327</v>
      </c>
      <c r="K79" s="230">
        <v>525</v>
      </c>
      <c r="L79" s="228">
        <v>44140</v>
      </c>
      <c r="M79" s="229" t="s">
        <v>47</v>
      </c>
      <c r="N79" s="229"/>
      <c r="O79" s="228"/>
      <c r="P79" s="228">
        <v>44140</v>
      </c>
      <c r="Q7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7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7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7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-525</v>
      </c>
      <c r="U79" s="235">
        <f ca="1">IF(OR(Tabela_Movimentacao[[#This Row],[Status]]="Em Aberto",Tabela_Movimentacao[[#This Row],[Status]]="Prorrogado"),Tabela_Movimentacao[[#This Row],[Valor]],0)</f>
        <v>0</v>
      </c>
      <c r="V79" s="219">
        <f ca="1">IF(Tabela_Movimentacao[[#This Row],[Status]]="Cancelado","",IF(Tabela_Movimentacao[[#This Row],[Status]]&lt;&gt;"Pago","",Tabela_Movimentacao[[#This Row],[Valor]]))</f>
        <v>525</v>
      </c>
    </row>
    <row r="80" spans="1:22" ht="35.5" hidden="1" customHeight="1" x14ac:dyDescent="0.35">
      <c r="A80" s="222" t="str">
        <f t="shared" si="3"/>
        <v>E70</v>
      </c>
      <c r="B80" s="223" t="str">
        <f t="shared" si="4"/>
        <v>FILE</v>
      </c>
      <c r="C80" s="224" t="s">
        <v>62</v>
      </c>
      <c r="D80" s="225" t="s">
        <v>104</v>
      </c>
      <c r="E80" s="226" t="s">
        <v>59</v>
      </c>
      <c r="F80" s="227" t="s">
        <v>248</v>
      </c>
      <c r="G80" s="228">
        <v>44140</v>
      </c>
      <c r="H80" s="229" t="s">
        <v>65</v>
      </c>
      <c r="I80" s="225" t="s">
        <v>222</v>
      </c>
      <c r="J80" s="225" t="s">
        <v>327</v>
      </c>
      <c r="K80" s="230">
        <v>525</v>
      </c>
      <c r="L80" s="228">
        <v>44140</v>
      </c>
      <c r="M80" s="229" t="s">
        <v>47</v>
      </c>
      <c r="N80" s="229"/>
      <c r="O80" s="228"/>
      <c r="P80" s="228">
        <v>44140</v>
      </c>
      <c r="Q8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8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525</v>
      </c>
      <c r="U80" s="235">
        <f ca="1">IF(OR(Tabela_Movimentacao[[#This Row],[Status]]="Em Aberto",Tabela_Movimentacao[[#This Row],[Status]]="Prorrogado"),Tabela_Movimentacao[[#This Row],[Valor]],0)</f>
        <v>0</v>
      </c>
      <c r="V80" s="219">
        <f ca="1">IF(Tabela_Movimentacao[[#This Row],[Status]]="Cancelado","",IF(Tabela_Movimentacao[[#This Row],[Status]]&lt;&gt;"Pago","",Tabela_Movimentacao[[#This Row],[Valor]]))</f>
        <v>525</v>
      </c>
    </row>
    <row r="81" spans="1:22" ht="35.5" hidden="1" customHeight="1" x14ac:dyDescent="0.35">
      <c r="A81" s="222" t="str">
        <f t="shared" si="3"/>
        <v>E71</v>
      </c>
      <c r="B81" s="223" t="str">
        <f t="shared" si="4"/>
        <v>FILE</v>
      </c>
      <c r="C81" s="224" t="s">
        <v>56</v>
      </c>
      <c r="D81" s="225" t="s">
        <v>11</v>
      </c>
      <c r="E81" s="226" t="s">
        <v>72</v>
      </c>
      <c r="F81" s="227" t="s">
        <v>248</v>
      </c>
      <c r="G81" s="228">
        <v>44140</v>
      </c>
      <c r="H81" s="229" t="s">
        <v>65</v>
      </c>
      <c r="I81" s="225" t="s">
        <v>64</v>
      </c>
      <c r="J81" s="225" t="s">
        <v>327</v>
      </c>
      <c r="K81" s="230">
        <v>525</v>
      </c>
      <c r="L81" s="228">
        <v>44140</v>
      </c>
      <c r="M81" s="229" t="s">
        <v>47</v>
      </c>
      <c r="N81" s="229"/>
      <c r="O81" s="228"/>
      <c r="P81" s="228">
        <v>44140</v>
      </c>
      <c r="Q8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8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-525</v>
      </c>
      <c r="U81" s="235">
        <f ca="1">IF(OR(Tabela_Movimentacao[[#This Row],[Status]]="Em Aberto",Tabela_Movimentacao[[#This Row],[Status]]="Prorrogado"),Tabela_Movimentacao[[#This Row],[Valor]],0)</f>
        <v>0</v>
      </c>
      <c r="V81" s="219">
        <f ca="1">IF(Tabela_Movimentacao[[#This Row],[Status]]="Cancelado","",IF(Tabela_Movimentacao[[#This Row],[Status]]&lt;&gt;"Pago","",Tabela_Movimentacao[[#This Row],[Valor]]))</f>
        <v>525</v>
      </c>
    </row>
    <row r="82" spans="1:22" ht="35.5" hidden="1" customHeight="1" x14ac:dyDescent="0.35">
      <c r="A82" s="222" t="str">
        <f t="shared" si="3"/>
        <v>E72</v>
      </c>
      <c r="B82" s="223" t="str">
        <f t="shared" si="4"/>
        <v>FILE</v>
      </c>
      <c r="C82" s="224" t="s">
        <v>56</v>
      </c>
      <c r="D82" s="225" t="s">
        <v>34</v>
      </c>
      <c r="E82" s="226" t="s">
        <v>15</v>
      </c>
      <c r="F82" s="227" t="s">
        <v>243</v>
      </c>
      <c r="G82" s="228">
        <v>44140</v>
      </c>
      <c r="H82" s="229" t="s">
        <v>64</v>
      </c>
      <c r="I82" s="225" t="s">
        <v>242</v>
      </c>
      <c r="J82" s="225" t="s">
        <v>327</v>
      </c>
      <c r="K82" s="230">
        <v>170</v>
      </c>
      <c r="L82" s="228">
        <v>44140</v>
      </c>
      <c r="M82" s="229" t="s">
        <v>44</v>
      </c>
      <c r="N82" s="229"/>
      <c r="O82" s="228"/>
      <c r="P82" s="228">
        <v>44140</v>
      </c>
      <c r="Q8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8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-170</v>
      </c>
      <c r="U82" s="235">
        <f ca="1">IF(OR(Tabela_Movimentacao[[#This Row],[Status]]="Em Aberto",Tabela_Movimentacao[[#This Row],[Status]]="Prorrogado"),Tabela_Movimentacao[[#This Row],[Valor]],0)</f>
        <v>0</v>
      </c>
      <c r="V82" s="219">
        <f ca="1">IF(Tabela_Movimentacao[[#This Row],[Status]]="Cancelado","",IF(Tabela_Movimentacao[[#This Row],[Status]]&lt;&gt;"Pago","",Tabela_Movimentacao[[#This Row],[Valor]]))</f>
        <v>170</v>
      </c>
    </row>
    <row r="83" spans="1:22" ht="35.5" hidden="1" customHeight="1" x14ac:dyDescent="0.35">
      <c r="A83" s="222" t="str">
        <f t="shared" si="3"/>
        <v>E73</v>
      </c>
      <c r="B83" s="223" t="str">
        <f t="shared" si="4"/>
        <v>FILE</v>
      </c>
      <c r="C83" s="224" t="s">
        <v>62</v>
      </c>
      <c r="D83" s="225" t="s">
        <v>104</v>
      </c>
      <c r="E83" s="226" t="s">
        <v>59</v>
      </c>
      <c r="F83" s="227" t="s">
        <v>246</v>
      </c>
      <c r="G83" s="228">
        <v>44140</v>
      </c>
      <c r="H83" s="229" t="s">
        <v>64</v>
      </c>
      <c r="I83" s="225" t="s">
        <v>222</v>
      </c>
      <c r="J83" s="225" t="s">
        <v>327</v>
      </c>
      <c r="K83" s="230">
        <v>939.21</v>
      </c>
      <c r="L83" s="228">
        <v>44140</v>
      </c>
      <c r="M83" s="229" t="s">
        <v>105</v>
      </c>
      <c r="N83" s="229"/>
      <c r="O83" s="228"/>
      <c r="P83" s="228">
        <v>44140</v>
      </c>
      <c r="Q8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8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939.21</v>
      </c>
      <c r="U83" s="235">
        <f ca="1">IF(OR(Tabela_Movimentacao[[#This Row],[Status]]="Em Aberto",Tabela_Movimentacao[[#This Row],[Status]]="Prorrogado"),Tabela_Movimentacao[[#This Row],[Valor]],0)</f>
        <v>0</v>
      </c>
      <c r="V83" s="219">
        <f ca="1">IF(Tabela_Movimentacao[[#This Row],[Status]]="Cancelado","",IF(Tabela_Movimentacao[[#This Row],[Status]]&lt;&gt;"Pago","",Tabela_Movimentacao[[#This Row],[Valor]]))</f>
        <v>939.21</v>
      </c>
    </row>
    <row r="84" spans="1:22" ht="35.5" hidden="1" customHeight="1" x14ac:dyDescent="0.35">
      <c r="A84" s="222" t="str">
        <f t="shared" si="3"/>
        <v>E74</v>
      </c>
      <c r="B84" s="223" t="str">
        <f t="shared" si="4"/>
        <v>FILE</v>
      </c>
      <c r="C84" s="224" t="s">
        <v>56</v>
      </c>
      <c r="D84" s="225" t="s">
        <v>13</v>
      </c>
      <c r="E84" s="226" t="s">
        <v>16</v>
      </c>
      <c r="F84" s="227" t="s">
        <v>246</v>
      </c>
      <c r="G84" s="228">
        <v>44140</v>
      </c>
      <c r="H84" s="229" t="s">
        <v>64</v>
      </c>
      <c r="I84" s="225" t="s">
        <v>173</v>
      </c>
      <c r="J84" s="225" t="s">
        <v>327</v>
      </c>
      <c r="K84" s="230">
        <v>939.21</v>
      </c>
      <c r="L84" s="228">
        <v>44140</v>
      </c>
      <c r="M84" s="229" t="s">
        <v>105</v>
      </c>
      <c r="N84" s="229"/>
      <c r="O84" s="228"/>
      <c r="P84" s="228">
        <v>44140</v>
      </c>
      <c r="Q8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44140</v>
      </c>
      <c r="S8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-939.21</v>
      </c>
      <c r="U84" s="235">
        <f ca="1">IF(OR(Tabela_Movimentacao[[#This Row],[Status]]="Em Aberto",Tabela_Movimentacao[[#This Row],[Status]]="Prorrogado"),Tabela_Movimentacao[[#This Row],[Valor]],0)</f>
        <v>0</v>
      </c>
      <c r="V84" s="219">
        <f ca="1">IF(Tabela_Movimentacao[[#This Row],[Status]]="Cancelado","",IF(Tabela_Movimentacao[[#This Row],[Status]]&lt;&gt;"Pago","",Tabela_Movimentacao[[#This Row],[Valor]]))</f>
        <v>939.21</v>
      </c>
    </row>
    <row r="85" spans="1:22" ht="35.5" hidden="1" customHeight="1" x14ac:dyDescent="0.35">
      <c r="A85" s="222" t="str">
        <f t="shared" si="3"/>
        <v>E75</v>
      </c>
      <c r="B85" s="223" t="str">
        <f t="shared" si="4"/>
        <v>FILE</v>
      </c>
      <c r="C85" s="224" t="s">
        <v>62</v>
      </c>
      <c r="D85" s="225" t="s">
        <v>104</v>
      </c>
      <c r="E85" s="226" t="s">
        <v>59</v>
      </c>
      <c r="F85" s="227" t="s">
        <v>247</v>
      </c>
      <c r="G85" s="228">
        <v>44141</v>
      </c>
      <c r="H85" s="229" t="s">
        <v>63</v>
      </c>
      <c r="I85" s="225" t="s">
        <v>222</v>
      </c>
      <c r="J85" s="225" t="s">
        <v>327</v>
      </c>
      <c r="K85" s="230">
        <v>525</v>
      </c>
      <c r="L85" s="228">
        <v>44141</v>
      </c>
      <c r="M85" s="229" t="s">
        <v>47</v>
      </c>
      <c r="N85" s="229"/>
      <c r="O85" s="228"/>
      <c r="P85" s="228">
        <v>44141</v>
      </c>
      <c r="Q8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44141</v>
      </c>
      <c r="S8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525</v>
      </c>
      <c r="U85" s="235">
        <f ca="1">IF(OR(Tabela_Movimentacao[[#This Row],[Status]]="Em Aberto",Tabela_Movimentacao[[#This Row],[Status]]="Prorrogado"),Tabela_Movimentacao[[#This Row],[Valor]],0)</f>
        <v>0</v>
      </c>
      <c r="V85" s="219">
        <f ca="1">IF(Tabela_Movimentacao[[#This Row],[Status]]="Cancelado","",IF(Tabela_Movimentacao[[#This Row],[Status]]&lt;&gt;"Pago","",Tabela_Movimentacao[[#This Row],[Valor]]))</f>
        <v>525</v>
      </c>
    </row>
    <row r="86" spans="1:22" ht="35.5" hidden="1" customHeight="1" x14ac:dyDescent="0.35">
      <c r="A86" s="222" t="str">
        <f t="shared" si="3"/>
        <v>E76</v>
      </c>
      <c r="B86" s="223" t="str">
        <f t="shared" si="4"/>
        <v>FILE</v>
      </c>
      <c r="C86" s="224" t="s">
        <v>62</v>
      </c>
      <c r="D86" s="225" t="s">
        <v>104</v>
      </c>
      <c r="E86" s="226" t="s">
        <v>59</v>
      </c>
      <c r="F86" s="227" t="s">
        <v>238</v>
      </c>
      <c r="G86" s="228">
        <v>44142</v>
      </c>
      <c r="H86" s="229" t="s">
        <v>64</v>
      </c>
      <c r="I86" s="225" t="s">
        <v>222</v>
      </c>
      <c r="J86" s="225" t="s">
        <v>327</v>
      </c>
      <c r="K86" s="230">
        <v>200</v>
      </c>
      <c r="L86" s="228">
        <v>44142</v>
      </c>
      <c r="M86" s="229" t="s">
        <v>47</v>
      </c>
      <c r="N86" s="229"/>
      <c r="O86" s="228"/>
      <c r="P86" s="228">
        <v>44142</v>
      </c>
      <c r="Q8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44144</v>
      </c>
      <c r="S8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200</v>
      </c>
      <c r="U86" s="235">
        <f ca="1">IF(OR(Tabela_Movimentacao[[#This Row],[Status]]="Em Aberto",Tabela_Movimentacao[[#This Row],[Status]]="Prorrogado"),Tabela_Movimentacao[[#This Row],[Valor]],0)</f>
        <v>0</v>
      </c>
      <c r="V86" s="219">
        <f ca="1">IF(Tabela_Movimentacao[[#This Row],[Status]]="Cancelado","",IF(Tabela_Movimentacao[[#This Row],[Status]]&lt;&gt;"Pago","",Tabela_Movimentacao[[#This Row],[Valor]]))</f>
        <v>200</v>
      </c>
    </row>
    <row r="87" spans="1:22" ht="35.5" hidden="1" customHeight="1" x14ac:dyDescent="0.35">
      <c r="A87" s="222" t="str">
        <f t="shared" si="3"/>
        <v>E77</v>
      </c>
      <c r="B87" s="223" t="str">
        <f t="shared" si="4"/>
        <v>FILE</v>
      </c>
      <c r="C87" s="224" t="s">
        <v>62</v>
      </c>
      <c r="D87" s="225" t="s">
        <v>104</v>
      </c>
      <c r="E87" s="226" t="s">
        <v>59</v>
      </c>
      <c r="F87" s="227" t="s">
        <v>250</v>
      </c>
      <c r="G87" s="228">
        <v>44144</v>
      </c>
      <c r="H87" s="229" t="s">
        <v>64</v>
      </c>
      <c r="I87" s="225" t="s">
        <v>222</v>
      </c>
      <c r="J87" s="225" t="s">
        <v>327</v>
      </c>
      <c r="K87" s="230">
        <v>88.78</v>
      </c>
      <c r="L87" s="228">
        <v>44144</v>
      </c>
      <c r="M87" s="229" t="s">
        <v>105</v>
      </c>
      <c r="N87" s="229"/>
      <c r="O87" s="228"/>
      <c r="P87" s="228">
        <v>44144</v>
      </c>
      <c r="Q8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44144</v>
      </c>
      <c r="S8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88.78</v>
      </c>
      <c r="U87" s="235">
        <f ca="1">IF(OR(Tabela_Movimentacao[[#This Row],[Status]]="Em Aberto",Tabela_Movimentacao[[#This Row],[Status]]="Prorrogado"),Tabela_Movimentacao[[#This Row],[Valor]],0)</f>
        <v>0</v>
      </c>
      <c r="V87" s="219">
        <f ca="1">IF(Tabela_Movimentacao[[#This Row],[Status]]="Cancelado","",IF(Tabela_Movimentacao[[#This Row],[Status]]&lt;&gt;"Pago","",Tabela_Movimentacao[[#This Row],[Valor]]))</f>
        <v>88.78</v>
      </c>
    </row>
    <row r="88" spans="1:22" ht="35.5" hidden="1" customHeight="1" x14ac:dyDescent="0.35">
      <c r="A88" s="222" t="str">
        <f t="shared" si="3"/>
        <v>E78</v>
      </c>
      <c r="B88" s="223" t="str">
        <f t="shared" si="4"/>
        <v>FILE</v>
      </c>
      <c r="C88" s="224" t="s">
        <v>56</v>
      </c>
      <c r="D88" s="225" t="s">
        <v>12</v>
      </c>
      <c r="E88" s="226" t="s">
        <v>55</v>
      </c>
      <c r="F88" s="227" t="s">
        <v>250</v>
      </c>
      <c r="G88" s="228">
        <v>44144</v>
      </c>
      <c r="H88" s="229" t="s">
        <v>64</v>
      </c>
      <c r="I88" s="225" t="s">
        <v>249</v>
      </c>
      <c r="J88" s="225" t="s">
        <v>327</v>
      </c>
      <c r="K88" s="230">
        <v>88.78</v>
      </c>
      <c r="L88" s="228">
        <v>44144</v>
      </c>
      <c r="M88" s="229" t="s">
        <v>105</v>
      </c>
      <c r="N88" s="229"/>
      <c r="O88" s="228"/>
      <c r="P88" s="228">
        <v>44144</v>
      </c>
      <c r="Q8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44144</v>
      </c>
      <c r="S8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-88.78</v>
      </c>
      <c r="U88" s="235">
        <f ca="1">IF(OR(Tabela_Movimentacao[[#This Row],[Status]]="Em Aberto",Tabela_Movimentacao[[#This Row],[Status]]="Prorrogado"),Tabela_Movimentacao[[#This Row],[Valor]],0)</f>
        <v>0</v>
      </c>
      <c r="V88" s="219">
        <f ca="1">IF(Tabela_Movimentacao[[#This Row],[Status]]="Cancelado","",IF(Tabela_Movimentacao[[#This Row],[Status]]&lt;&gt;"Pago","",Tabela_Movimentacao[[#This Row],[Valor]]))</f>
        <v>88.78</v>
      </c>
    </row>
    <row r="89" spans="1:22" ht="35.5" hidden="1" customHeight="1" x14ac:dyDescent="0.35">
      <c r="A89" s="222" t="str">
        <f t="shared" si="3"/>
        <v>E79</v>
      </c>
      <c r="B89" s="223" t="str">
        <f t="shared" si="4"/>
        <v>FILE</v>
      </c>
      <c r="C89" s="224" t="s">
        <v>62</v>
      </c>
      <c r="D89" s="225" t="s">
        <v>104</v>
      </c>
      <c r="E89" s="226" t="s">
        <v>59</v>
      </c>
      <c r="F89" s="227" t="s">
        <v>256</v>
      </c>
      <c r="G89" s="228">
        <v>44145</v>
      </c>
      <c r="H89" s="229" t="s">
        <v>64</v>
      </c>
      <c r="I89" s="225" t="s">
        <v>222</v>
      </c>
      <c r="J89" s="225" t="s">
        <v>327</v>
      </c>
      <c r="K89" s="230">
        <v>375</v>
      </c>
      <c r="L89" s="228">
        <v>44145</v>
      </c>
      <c r="M89" s="229" t="s">
        <v>44</v>
      </c>
      <c r="N89" s="229"/>
      <c r="O89" s="228"/>
      <c r="P89" s="228">
        <v>44145</v>
      </c>
      <c r="Q8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8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8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8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375</v>
      </c>
      <c r="U89" s="235">
        <f ca="1">IF(OR(Tabela_Movimentacao[[#This Row],[Status]]="Em Aberto",Tabela_Movimentacao[[#This Row],[Status]]="Prorrogado"),Tabela_Movimentacao[[#This Row],[Valor]],0)</f>
        <v>0</v>
      </c>
      <c r="V89" s="219">
        <f ca="1">IF(Tabela_Movimentacao[[#This Row],[Status]]="Cancelado","",IF(Tabela_Movimentacao[[#This Row],[Status]]&lt;&gt;"Pago","",Tabela_Movimentacao[[#This Row],[Valor]]))</f>
        <v>375</v>
      </c>
    </row>
    <row r="90" spans="1:22" ht="35.5" hidden="1" customHeight="1" x14ac:dyDescent="0.35">
      <c r="A90" s="222" t="str">
        <f t="shared" si="3"/>
        <v>E80</v>
      </c>
      <c r="B90" s="223" t="str">
        <f t="shared" si="4"/>
        <v>FILE</v>
      </c>
      <c r="C90" s="224" t="s">
        <v>56</v>
      </c>
      <c r="D90" s="225" t="s">
        <v>49</v>
      </c>
      <c r="E90" s="226" t="s">
        <v>50</v>
      </c>
      <c r="F90" s="227" t="s">
        <v>256</v>
      </c>
      <c r="G90" s="228">
        <v>44145</v>
      </c>
      <c r="H90" s="229" t="s">
        <v>64</v>
      </c>
      <c r="I90" s="225" t="s">
        <v>255</v>
      </c>
      <c r="J90" s="225" t="s">
        <v>327</v>
      </c>
      <c r="K90" s="230">
        <v>375</v>
      </c>
      <c r="L90" s="228">
        <v>44145</v>
      </c>
      <c r="M90" s="229" t="s">
        <v>44</v>
      </c>
      <c r="N90" s="229"/>
      <c r="O90" s="228"/>
      <c r="P90" s="228">
        <v>44145</v>
      </c>
      <c r="Q9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-375</v>
      </c>
      <c r="U90" s="235">
        <f ca="1">IF(OR(Tabela_Movimentacao[[#This Row],[Status]]="Em Aberto",Tabela_Movimentacao[[#This Row],[Status]]="Prorrogado"),Tabela_Movimentacao[[#This Row],[Valor]],0)</f>
        <v>0</v>
      </c>
      <c r="V90" s="219">
        <f ca="1">IF(Tabela_Movimentacao[[#This Row],[Status]]="Cancelado","",IF(Tabela_Movimentacao[[#This Row],[Status]]&lt;&gt;"Pago","",Tabela_Movimentacao[[#This Row],[Valor]]))</f>
        <v>375</v>
      </c>
    </row>
    <row r="91" spans="1:22" ht="35.5" hidden="1" customHeight="1" x14ac:dyDescent="0.35">
      <c r="A91" s="222" t="str">
        <f t="shared" si="3"/>
        <v>E81</v>
      </c>
      <c r="B91" s="223" t="str">
        <f t="shared" si="4"/>
        <v>FILE</v>
      </c>
      <c r="C91" s="224" t="s">
        <v>62</v>
      </c>
      <c r="D91" s="225" t="s">
        <v>104</v>
      </c>
      <c r="E91" s="226" t="s">
        <v>59</v>
      </c>
      <c r="F91" s="227" t="s">
        <v>258</v>
      </c>
      <c r="G91" s="228">
        <v>44145</v>
      </c>
      <c r="H91" s="229" t="s">
        <v>64</v>
      </c>
      <c r="I91" s="225" t="s">
        <v>222</v>
      </c>
      <c r="J91" s="225" t="s">
        <v>327</v>
      </c>
      <c r="K91" s="230">
        <v>1087.2</v>
      </c>
      <c r="L91" s="228">
        <v>44145</v>
      </c>
      <c r="M91" s="229" t="s">
        <v>44</v>
      </c>
      <c r="N91" s="229"/>
      <c r="O91" s="228"/>
      <c r="P91" s="228">
        <v>44145</v>
      </c>
      <c r="Q9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1087.2</v>
      </c>
      <c r="U91" s="235">
        <f ca="1">IF(OR(Tabela_Movimentacao[[#This Row],[Status]]="Em Aberto",Tabela_Movimentacao[[#This Row],[Status]]="Prorrogado"),Tabela_Movimentacao[[#This Row],[Valor]],0)</f>
        <v>0</v>
      </c>
      <c r="V91" s="219">
        <f ca="1">IF(Tabela_Movimentacao[[#This Row],[Status]]="Cancelado","",IF(Tabela_Movimentacao[[#This Row],[Status]]&lt;&gt;"Pago","",Tabela_Movimentacao[[#This Row],[Valor]]))</f>
        <v>1087.2</v>
      </c>
    </row>
    <row r="92" spans="1:22" ht="35.5" hidden="1" customHeight="1" x14ac:dyDescent="0.35">
      <c r="A92" s="222" t="str">
        <f t="shared" si="3"/>
        <v>E82</v>
      </c>
      <c r="B92" s="223" t="str">
        <f t="shared" si="4"/>
        <v>FILE</v>
      </c>
      <c r="C92" s="224" t="s">
        <v>56</v>
      </c>
      <c r="D92" s="225" t="s">
        <v>49</v>
      </c>
      <c r="E92" s="226" t="s">
        <v>50</v>
      </c>
      <c r="F92" s="227" t="s">
        <v>258</v>
      </c>
      <c r="G92" s="228">
        <v>44145</v>
      </c>
      <c r="H92" s="229" t="s">
        <v>64</v>
      </c>
      <c r="I92" s="225" t="s">
        <v>252</v>
      </c>
      <c r="J92" s="225" t="s">
        <v>327</v>
      </c>
      <c r="K92" s="230">
        <v>1087.2</v>
      </c>
      <c r="L92" s="228">
        <v>44145</v>
      </c>
      <c r="M92" s="229" t="s">
        <v>44</v>
      </c>
      <c r="N92" s="229"/>
      <c r="O92" s="228"/>
      <c r="P92" s="228">
        <v>44145</v>
      </c>
      <c r="Q9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-1087.2</v>
      </c>
      <c r="U92" s="235">
        <f ca="1">IF(OR(Tabela_Movimentacao[[#This Row],[Status]]="Em Aberto",Tabela_Movimentacao[[#This Row],[Status]]="Prorrogado"),Tabela_Movimentacao[[#This Row],[Valor]],0)</f>
        <v>0</v>
      </c>
      <c r="V92" s="219">
        <f ca="1">IF(Tabela_Movimentacao[[#This Row],[Status]]="Cancelado","",IF(Tabela_Movimentacao[[#This Row],[Status]]&lt;&gt;"Pago","",Tabela_Movimentacao[[#This Row],[Valor]]))</f>
        <v>1087.2</v>
      </c>
    </row>
    <row r="93" spans="1:22" ht="35.5" hidden="1" customHeight="1" x14ac:dyDescent="0.35">
      <c r="A93" s="222" t="str">
        <f t="shared" si="3"/>
        <v>E83</v>
      </c>
      <c r="B93" s="223" t="str">
        <f t="shared" si="4"/>
        <v>FILE</v>
      </c>
      <c r="C93" s="224" t="s">
        <v>62</v>
      </c>
      <c r="D93" s="225" t="s">
        <v>104</v>
      </c>
      <c r="E93" s="226" t="s">
        <v>59</v>
      </c>
      <c r="F93" s="227" t="s">
        <v>257</v>
      </c>
      <c r="G93" s="228">
        <v>44145</v>
      </c>
      <c r="H93" s="229" t="s">
        <v>64</v>
      </c>
      <c r="I93" s="225" t="s">
        <v>222</v>
      </c>
      <c r="J93" s="225" t="s">
        <v>327</v>
      </c>
      <c r="K93" s="230">
        <v>790</v>
      </c>
      <c r="L93" s="228">
        <v>44145</v>
      </c>
      <c r="M93" s="229" t="s">
        <v>44</v>
      </c>
      <c r="N93" s="229"/>
      <c r="O93" s="228"/>
      <c r="P93" s="228">
        <v>44145</v>
      </c>
      <c r="Q9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790</v>
      </c>
      <c r="U93" s="235">
        <f ca="1">IF(OR(Tabela_Movimentacao[[#This Row],[Status]]="Em Aberto",Tabela_Movimentacao[[#This Row],[Status]]="Prorrogado"),Tabela_Movimentacao[[#This Row],[Valor]],0)</f>
        <v>0</v>
      </c>
      <c r="V93" s="219">
        <f ca="1">IF(Tabela_Movimentacao[[#This Row],[Status]]="Cancelado","",IF(Tabela_Movimentacao[[#This Row],[Status]]&lt;&gt;"Pago","",Tabela_Movimentacao[[#This Row],[Valor]]))</f>
        <v>790</v>
      </c>
    </row>
    <row r="94" spans="1:22" ht="35.5" hidden="1" customHeight="1" x14ac:dyDescent="0.35">
      <c r="A94" s="222" t="str">
        <f t="shared" si="3"/>
        <v>E84</v>
      </c>
      <c r="B94" s="223" t="str">
        <f t="shared" si="4"/>
        <v>FILE</v>
      </c>
      <c r="C94" s="224" t="s">
        <v>56</v>
      </c>
      <c r="D94" s="225" t="s">
        <v>49</v>
      </c>
      <c r="E94" s="226" t="s">
        <v>50</v>
      </c>
      <c r="F94" s="227" t="s">
        <v>257</v>
      </c>
      <c r="G94" s="228">
        <v>44145</v>
      </c>
      <c r="H94" s="229" t="s">
        <v>64</v>
      </c>
      <c r="I94" s="225" t="s">
        <v>253</v>
      </c>
      <c r="J94" s="225" t="s">
        <v>327</v>
      </c>
      <c r="K94" s="230">
        <v>790</v>
      </c>
      <c r="L94" s="228">
        <v>44145</v>
      </c>
      <c r="M94" s="229" t="s">
        <v>44</v>
      </c>
      <c r="N94" s="229"/>
      <c r="O94" s="228"/>
      <c r="P94" s="228">
        <v>44145</v>
      </c>
      <c r="Q9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-790</v>
      </c>
      <c r="U94" s="235">
        <f ca="1">IF(OR(Tabela_Movimentacao[[#This Row],[Status]]="Em Aberto",Tabela_Movimentacao[[#This Row],[Status]]="Prorrogado"),Tabela_Movimentacao[[#This Row],[Valor]],0)</f>
        <v>0</v>
      </c>
      <c r="V94" s="219">
        <f ca="1">IF(Tabela_Movimentacao[[#This Row],[Status]]="Cancelado","",IF(Tabela_Movimentacao[[#This Row],[Status]]&lt;&gt;"Pago","",Tabela_Movimentacao[[#This Row],[Valor]]))</f>
        <v>790</v>
      </c>
    </row>
    <row r="95" spans="1:22" ht="35.5" hidden="1" customHeight="1" x14ac:dyDescent="0.35">
      <c r="A95" s="222" t="str">
        <f t="shared" si="3"/>
        <v>E85</v>
      </c>
      <c r="B95" s="223" t="str">
        <f t="shared" si="4"/>
        <v>FILE</v>
      </c>
      <c r="C95" s="224" t="s">
        <v>62</v>
      </c>
      <c r="D95" s="225" t="s">
        <v>104</v>
      </c>
      <c r="E95" s="226" t="s">
        <v>59</v>
      </c>
      <c r="F95" s="227" t="s">
        <v>259</v>
      </c>
      <c r="G95" s="228">
        <v>44145</v>
      </c>
      <c r="H95" s="229" t="s">
        <v>64</v>
      </c>
      <c r="I95" s="225" t="s">
        <v>222</v>
      </c>
      <c r="J95" s="225" t="s">
        <v>327</v>
      </c>
      <c r="K95" s="230">
        <v>3456</v>
      </c>
      <c r="L95" s="228">
        <v>44145</v>
      </c>
      <c r="M95" s="229" t="s">
        <v>44</v>
      </c>
      <c r="N95" s="229"/>
      <c r="O95" s="228"/>
      <c r="P95" s="228">
        <v>44145</v>
      </c>
      <c r="Q9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3456</v>
      </c>
      <c r="U95" s="235">
        <f ca="1">IF(OR(Tabela_Movimentacao[[#This Row],[Status]]="Em Aberto",Tabela_Movimentacao[[#This Row],[Status]]="Prorrogado"),Tabela_Movimentacao[[#This Row],[Valor]],0)</f>
        <v>0</v>
      </c>
      <c r="V95" s="219">
        <f ca="1">IF(Tabela_Movimentacao[[#This Row],[Status]]="Cancelado","",IF(Tabela_Movimentacao[[#This Row],[Status]]&lt;&gt;"Pago","",Tabela_Movimentacao[[#This Row],[Valor]]))</f>
        <v>3456</v>
      </c>
    </row>
    <row r="96" spans="1:22" ht="35.5" hidden="1" customHeight="1" x14ac:dyDescent="0.35">
      <c r="A96" s="222" t="str">
        <f t="shared" si="3"/>
        <v>E86</v>
      </c>
      <c r="B96" s="223" t="str">
        <f t="shared" si="4"/>
        <v>FILE</v>
      </c>
      <c r="C96" s="224" t="s">
        <v>56</v>
      </c>
      <c r="D96" s="225" t="s">
        <v>49</v>
      </c>
      <c r="E96" s="226" t="s">
        <v>50</v>
      </c>
      <c r="F96" s="227" t="s">
        <v>259</v>
      </c>
      <c r="G96" s="228">
        <v>44145</v>
      </c>
      <c r="H96" s="229" t="s">
        <v>64</v>
      </c>
      <c r="I96" s="225" t="s">
        <v>254</v>
      </c>
      <c r="J96" s="225" t="s">
        <v>327</v>
      </c>
      <c r="K96" s="230">
        <v>3456</v>
      </c>
      <c r="L96" s="228">
        <v>44145</v>
      </c>
      <c r="M96" s="229" t="s">
        <v>44</v>
      </c>
      <c r="N96" s="229"/>
      <c r="O96" s="228"/>
      <c r="P96" s="228">
        <v>44145</v>
      </c>
      <c r="Q9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-3456</v>
      </c>
      <c r="U96" s="235">
        <f ca="1">IF(OR(Tabela_Movimentacao[[#This Row],[Status]]="Em Aberto",Tabela_Movimentacao[[#This Row],[Status]]="Prorrogado"),Tabela_Movimentacao[[#This Row],[Valor]],0)</f>
        <v>0</v>
      </c>
      <c r="V96" s="219">
        <f ca="1">IF(Tabela_Movimentacao[[#This Row],[Status]]="Cancelado","",IF(Tabela_Movimentacao[[#This Row],[Status]]&lt;&gt;"Pago","",Tabela_Movimentacao[[#This Row],[Valor]]))</f>
        <v>3456</v>
      </c>
    </row>
    <row r="97" spans="1:22" ht="35.5" hidden="1" customHeight="1" x14ac:dyDescent="0.35">
      <c r="A97" s="222" t="str">
        <f t="shared" si="3"/>
        <v>E87</v>
      </c>
      <c r="B97" s="223" t="str">
        <f t="shared" si="4"/>
        <v>FILE</v>
      </c>
      <c r="C97" s="224" t="s">
        <v>62</v>
      </c>
      <c r="D97" s="225" t="s">
        <v>104</v>
      </c>
      <c r="E97" s="226" t="s">
        <v>59</v>
      </c>
      <c r="F97" s="227" t="s">
        <v>251</v>
      </c>
      <c r="G97" s="228">
        <v>44145</v>
      </c>
      <c r="H97" s="229" t="s">
        <v>64</v>
      </c>
      <c r="I97" s="225" t="s">
        <v>222</v>
      </c>
      <c r="J97" s="225" t="s">
        <v>327</v>
      </c>
      <c r="K97" s="230">
        <v>191.4</v>
      </c>
      <c r="L97" s="228">
        <v>44145</v>
      </c>
      <c r="M97" s="229" t="s">
        <v>105</v>
      </c>
      <c r="N97" s="229"/>
      <c r="O97" s="228"/>
      <c r="P97" s="228">
        <v>44145</v>
      </c>
      <c r="Q9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191.4</v>
      </c>
      <c r="U97" s="235">
        <f ca="1">IF(OR(Tabela_Movimentacao[[#This Row],[Status]]="Em Aberto",Tabela_Movimentacao[[#This Row],[Status]]="Prorrogado"),Tabela_Movimentacao[[#This Row],[Valor]],0)</f>
        <v>0</v>
      </c>
      <c r="V97" s="219">
        <f ca="1">IF(Tabela_Movimentacao[[#This Row],[Status]]="Cancelado","",IF(Tabela_Movimentacao[[#This Row],[Status]]&lt;&gt;"Pago","",Tabela_Movimentacao[[#This Row],[Valor]]))</f>
        <v>191.4</v>
      </c>
    </row>
    <row r="98" spans="1:22" ht="35.5" hidden="1" customHeight="1" x14ac:dyDescent="0.35">
      <c r="A98" s="222" t="str">
        <f t="shared" si="3"/>
        <v>E88</v>
      </c>
      <c r="B98" s="223" t="str">
        <f t="shared" si="4"/>
        <v>FILE</v>
      </c>
      <c r="C98" s="224" t="s">
        <v>56</v>
      </c>
      <c r="D98" s="225" t="s">
        <v>13</v>
      </c>
      <c r="E98" s="226" t="s">
        <v>30</v>
      </c>
      <c r="F98" s="227" t="s">
        <v>251</v>
      </c>
      <c r="G98" s="228">
        <v>44145</v>
      </c>
      <c r="H98" s="229" t="s">
        <v>64</v>
      </c>
      <c r="I98" s="225" t="s">
        <v>173</v>
      </c>
      <c r="J98" s="225" t="s">
        <v>327</v>
      </c>
      <c r="K98" s="230">
        <v>191.4</v>
      </c>
      <c r="L98" s="228">
        <v>44145</v>
      </c>
      <c r="M98" s="229" t="s">
        <v>105</v>
      </c>
      <c r="N98" s="229"/>
      <c r="O98" s="228"/>
      <c r="P98" s="228">
        <v>44145</v>
      </c>
      <c r="Q9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44145</v>
      </c>
      <c r="S9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-191.4</v>
      </c>
      <c r="U98" s="235">
        <f ca="1">IF(OR(Tabela_Movimentacao[[#This Row],[Status]]="Em Aberto",Tabela_Movimentacao[[#This Row],[Status]]="Prorrogado"),Tabela_Movimentacao[[#This Row],[Valor]],0)</f>
        <v>0</v>
      </c>
      <c r="V98" s="219">
        <f ca="1">IF(Tabela_Movimentacao[[#This Row],[Status]]="Cancelado","",IF(Tabela_Movimentacao[[#This Row],[Status]]&lt;&gt;"Pago","",Tabela_Movimentacao[[#This Row],[Valor]]))</f>
        <v>191.4</v>
      </c>
    </row>
    <row r="99" spans="1:22" ht="35.5" hidden="1" customHeight="1" x14ac:dyDescent="0.35">
      <c r="A99" s="222" t="str">
        <f t="shared" si="3"/>
        <v>E89</v>
      </c>
      <c r="B99" s="223" t="str">
        <f t="shared" si="4"/>
        <v>FILE</v>
      </c>
      <c r="C99" s="224" t="s">
        <v>62</v>
      </c>
      <c r="D99" s="225" t="s">
        <v>104</v>
      </c>
      <c r="E99" s="226" t="s">
        <v>59</v>
      </c>
      <c r="F99" s="227" t="s">
        <v>262</v>
      </c>
      <c r="G99" s="228">
        <v>44146</v>
      </c>
      <c r="H99" s="229" t="s">
        <v>63</v>
      </c>
      <c r="I99" s="225" t="s">
        <v>222</v>
      </c>
      <c r="J99" s="225" t="s">
        <v>327</v>
      </c>
      <c r="K99" s="230">
        <v>2695.45</v>
      </c>
      <c r="L99" s="228">
        <v>44146</v>
      </c>
      <c r="M99" s="229" t="s">
        <v>47</v>
      </c>
      <c r="N99" s="229"/>
      <c r="O99" s="228"/>
      <c r="P99" s="228">
        <v>44146</v>
      </c>
      <c r="Q9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9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9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9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2695.45</v>
      </c>
      <c r="U99" s="235">
        <f ca="1">IF(OR(Tabela_Movimentacao[[#This Row],[Status]]="Em Aberto",Tabela_Movimentacao[[#This Row],[Status]]="Prorrogado"),Tabela_Movimentacao[[#This Row],[Valor]],0)</f>
        <v>0</v>
      </c>
      <c r="V99" s="219">
        <f ca="1">IF(Tabela_Movimentacao[[#This Row],[Status]]="Cancelado","",IF(Tabela_Movimentacao[[#This Row],[Status]]&lt;&gt;"Pago","",Tabela_Movimentacao[[#This Row],[Valor]]))</f>
        <v>2695.45</v>
      </c>
    </row>
    <row r="100" spans="1:22" ht="35.5" hidden="1" customHeight="1" x14ac:dyDescent="0.35">
      <c r="A100" s="222" t="str">
        <f t="shared" si="3"/>
        <v>E90</v>
      </c>
      <c r="B100" s="223" t="str">
        <f t="shared" si="4"/>
        <v>FILE</v>
      </c>
      <c r="C100" s="224" t="s">
        <v>56</v>
      </c>
      <c r="D100" s="225" t="s">
        <v>49</v>
      </c>
      <c r="E100" s="226" t="s">
        <v>50</v>
      </c>
      <c r="F100" s="227" t="s">
        <v>262</v>
      </c>
      <c r="G100" s="228">
        <v>44146</v>
      </c>
      <c r="H100" s="229" t="s">
        <v>63</v>
      </c>
      <c r="I100" s="225" t="s">
        <v>329</v>
      </c>
      <c r="J100" s="225" t="s">
        <v>327</v>
      </c>
      <c r="K100" s="230">
        <v>2695.45</v>
      </c>
      <c r="L100" s="228">
        <v>44146</v>
      </c>
      <c r="M100" s="229" t="s">
        <v>47</v>
      </c>
      <c r="N100" s="229"/>
      <c r="O100" s="228"/>
      <c r="P100" s="228">
        <v>44146</v>
      </c>
      <c r="Q10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10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-2695.45</v>
      </c>
      <c r="U100" s="235">
        <f ca="1">IF(OR(Tabela_Movimentacao[[#This Row],[Status]]="Em Aberto",Tabela_Movimentacao[[#This Row],[Status]]="Prorrogado"),Tabela_Movimentacao[[#This Row],[Valor]],0)</f>
        <v>0</v>
      </c>
      <c r="V100" s="219">
        <f ca="1">IF(Tabela_Movimentacao[[#This Row],[Status]]="Cancelado","",IF(Tabela_Movimentacao[[#This Row],[Status]]&lt;&gt;"Pago","",Tabela_Movimentacao[[#This Row],[Valor]]))</f>
        <v>2695.45</v>
      </c>
    </row>
    <row r="101" spans="1:22" ht="35.5" hidden="1" customHeight="1" x14ac:dyDescent="0.35">
      <c r="A101" s="222" t="str">
        <f t="shared" si="3"/>
        <v>E91</v>
      </c>
      <c r="B101" s="223" t="str">
        <f t="shared" si="4"/>
        <v>FILE</v>
      </c>
      <c r="C101" s="224" t="s">
        <v>62</v>
      </c>
      <c r="D101" s="225" t="s">
        <v>104</v>
      </c>
      <c r="E101" s="226" t="s">
        <v>59</v>
      </c>
      <c r="F101" s="227" t="s">
        <v>263</v>
      </c>
      <c r="G101" s="228">
        <v>44146</v>
      </c>
      <c r="H101" s="229" t="s">
        <v>64</v>
      </c>
      <c r="I101" s="225" t="s">
        <v>222</v>
      </c>
      <c r="J101" s="225" t="s">
        <v>327</v>
      </c>
      <c r="K101" s="230">
        <v>5390.9</v>
      </c>
      <c r="L101" s="228">
        <v>44146</v>
      </c>
      <c r="M101" s="229" t="s">
        <v>47</v>
      </c>
      <c r="N101" s="229"/>
      <c r="O101" s="228"/>
      <c r="P101" s="228">
        <v>44146</v>
      </c>
      <c r="Q10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10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5390.9</v>
      </c>
      <c r="U101" s="235">
        <f ca="1">IF(OR(Tabela_Movimentacao[[#This Row],[Status]]="Em Aberto",Tabela_Movimentacao[[#This Row],[Status]]="Prorrogado"),Tabela_Movimentacao[[#This Row],[Valor]],0)</f>
        <v>0</v>
      </c>
      <c r="V101" s="219">
        <f ca="1">IF(Tabela_Movimentacao[[#This Row],[Status]]="Cancelado","",IF(Tabela_Movimentacao[[#This Row],[Status]]&lt;&gt;"Pago","",Tabela_Movimentacao[[#This Row],[Valor]]))</f>
        <v>5390.9</v>
      </c>
    </row>
    <row r="102" spans="1:22" ht="35.5" hidden="1" customHeight="1" x14ac:dyDescent="0.35">
      <c r="A102" s="222" t="str">
        <f t="shared" si="3"/>
        <v>E92</v>
      </c>
      <c r="B102" s="223" t="str">
        <f t="shared" si="4"/>
        <v>FILE</v>
      </c>
      <c r="C102" s="224" t="s">
        <v>56</v>
      </c>
      <c r="D102" s="225" t="s">
        <v>49</v>
      </c>
      <c r="E102" s="226" t="s">
        <v>50</v>
      </c>
      <c r="F102" s="227" t="s">
        <v>263</v>
      </c>
      <c r="G102" s="228">
        <v>44146</v>
      </c>
      <c r="H102" s="229" t="s">
        <v>64</v>
      </c>
      <c r="I102" s="225" t="s">
        <v>329</v>
      </c>
      <c r="J102" s="225" t="s">
        <v>327</v>
      </c>
      <c r="K102" s="230">
        <v>5390.9</v>
      </c>
      <c r="L102" s="228">
        <v>44146</v>
      </c>
      <c r="M102" s="229" t="s">
        <v>47</v>
      </c>
      <c r="N102" s="229"/>
      <c r="O102" s="228"/>
      <c r="P102" s="228">
        <v>44146</v>
      </c>
      <c r="Q10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10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-5390.9</v>
      </c>
      <c r="U102" s="235">
        <f ca="1">IF(OR(Tabela_Movimentacao[[#This Row],[Status]]="Em Aberto",Tabela_Movimentacao[[#This Row],[Status]]="Prorrogado"),Tabela_Movimentacao[[#This Row],[Valor]],0)</f>
        <v>0</v>
      </c>
      <c r="V102" s="219">
        <f ca="1">IF(Tabela_Movimentacao[[#This Row],[Status]]="Cancelado","",IF(Tabela_Movimentacao[[#This Row],[Status]]&lt;&gt;"Pago","",Tabela_Movimentacao[[#This Row],[Valor]]))</f>
        <v>5390.9</v>
      </c>
    </row>
    <row r="103" spans="1:22" ht="35.5" hidden="1" customHeight="1" x14ac:dyDescent="0.35">
      <c r="A103" s="222" t="str">
        <f t="shared" si="3"/>
        <v>E93</v>
      </c>
      <c r="B103" s="223" t="str">
        <f t="shared" si="4"/>
        <v>FILE</v>
      </c>
      <c r="C103" s="224" t="s">
        <v>62</v>
      </c>
      <c r="D103" s="225" t="s">
        <v>104</v>
      </c>
      <c r="E103" s="226" t="s">
        <v>59</v>
      </c>
      <c r="F103" s="227" t="s">
        <v>260</v>
      </c>
      <c r="G103" s="228">
        <v>44146</v>
      </c>
      <c r="H103" s="229" t="s">
        <v>63</v>
      </c>
      <c r="I103" s="225" t="s">
        <v>222</v>
      </c>
      <c r="J103" s="225" t="s">
        <v>327</v>
      </c>
      <c r="K103" s="230">
        <v>221</v>
      </c>
      <c r="L103" s="228">
        <v>44146</v>
      </c>
      <c r="M103" s="229" t="s">
        <v>105</v>
      </c>
      <c r="N103" s="229"/>
      <c r="O103" s="228"/>
      <c r="P103" s="228">
        <v>44146</v>
      </c>
      <c r="Q10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10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221</v>
      </c>
      <c r="U103" s="235">
        <f ca="1">IF(OR(Tabela_Movimentacao[[#This Row],[Status]]="Em Aberto",Tabela_Movimentacao[[#This Row],[Status]]="Prorrogado"),Tabela_Movimentacao[[#This Row],[Valor]],0)</f>
        <v>0</v>
      </c>
      <c r="V103" s="219">
        <f ca="1">IF(Tabela_Movimentacao[[#This Row],[Status]]="Cancelado","",IF(Tabela_Movimentacao[[#This Row],[Status]]&lt;&gt;"Pago","",Tabela_Movimentacao[[#This Row],[Valor]]))</f>
        <v>221</v>
      </c>
    </row>
    <row r="104" spans="1:22" ht="35.5" hidden="1" customHeight="1" x14ac:dyDescent="0.35">
      <c r="A104" s="222" t="str">
        <f t="shared" si="3"/>
        <v>E94</v>
      </c>
      <c r="B104" s="223" t="str">
        <f t="shared" si="4"/>
        <v>FILE</v>
      </c>
      <c r="C104" s="224" t="s">
        <v>56</v>
      </c>
      <c r="D104" s="225" t="s">
        <v>12</v>
      </c>
      <c r="E104" s="226" t="s">
        <v>55</v>
      </c>
      <c r="F104" s="227" t="s">
        <v>260</v>
      </c>
      <c r="G104" s="228">
        <v>44146</v>
      </c>
      <c r="H104" s="229" t="s">
        <v>63</v>
      </c>
      <c r="I104" s="225" t="s">
        <v>261</v>
      </c>
      <c r="J104" s="225" t="s">
        <v>327</v>
      </c>
      <c r="K104" s="230">
        <v>221</v>
      </c>
      <c r="L104" s="228">
        <v>44146</v>
      </c>
      <c r="M104" s="229" t="s">
        <v>105</v>
      </c>
      <c r="N104" s="229"/>
      <c r="O104" s="228"/>
      <c r="P104" s="228">
        <v>44146</v>
      </c>
      <c r="Q10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44146</v>
      </c>
      <c r="S10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-221</v>
      </c>
      <c r="U104" s="235">
        <f ca="1">IF(OR(Tabela_Movimentacao[[#This Row],[Status]]="Em Aberto",Tabela_Movimentacao[[#This Row],[Status]]="Prorrogado"),Tabela_Movimentacao[[#This Row],[Valor]],0)</f>
        <v>0</v>
      </c>
      <c r="V104" s="219">
        <f ca="1">IF(Tabela_Movimentacao[[#This Row],[Status]]="Cancelado","",IF(Tabela_Movimentacao[[#This Row],[Status]]&lt;&gt;"Pago","",Tabela_Movimentacao[[#This Row],[Valor]]))</f>
        <v>221</v>
      </c>
    </row>
    <row r="105" spans="1:22" ht="35.5" hidden="1" customHeight="1" x14ac:dyDescent="0.35">
      <c r="A105" s="222" t="str">
        <f t="shared" si="3"/>
        <v>E95</v>
      </c>
      <c r="B105" s="223" t="str">
        <f t="shared" si="4"/>
        <v>FILE</v>
      </c>
      <c r="C105" s="224" t="s">
        <v>62</v>
      </c>
      <c r="D105" s="225" t="s">
        <v>104</v>
      </c>
      <c r="E105" s="226" t="s">
        <v>59</v>
      </c>
      <c r="F105" s="227" t="s">
        <v>266</v>
      </c>
      <c r="G105" s="228">
        <v>44148</v>
      </c>
      <c r="H105" s="229" t="s">
        <v>64</v>
      </c>
      <c r="I105" s="225" t="s">
        <v>222</v>
      </c>
      <c r="J105" s="225" t="s">
        <v>327</v>
      </c>
      <c r="K105" s="230">
        <v>1580</v>
      </c>
      <c r="L105" s="228">
        <v>44148</v>
      </c>
      <c r="M105" s="229" t="s">
        <v>44</v>
      </c>
      <c r="N105" s="229"/>
      <c r="O105" s="228"/>
      <c r="P105" s="228">
        <v>44148</v>
      </c>
      <c r="Q10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0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1580</v>
      </c>
      <c r="U105" s="235">
        <f ca="1">IF(OR(Tabela_Movimentacao[[#This Row],[Status]]="Em Aberto",Tabela_Movimentacao[[#This Row],[Status]]="Prorrogado"),Tabela_Movimentacao[[#This Row],[Valor]],0)</f>
        <v>0</v>
      </c>
      <c r="V105" s="219">
        <f ca="1">IF(Tabela_Movimentacao[[#This Row],[Status]]="Cancelado","",IF(Tabela_Movimentacao[[#This Row],[Status]]&lt;&gt;"Pago","",Tabela_Movimentacao[[#This Row],[Valor]]))</f>
        <v>1580</v>
      </c>
    </row>
    <row r="106" spans="1:22" ht="35.5" hidden="1" customHeight="1" x14ac:dyDescent="0.35">
      <c r="A106" s="222" t="str">
        <f t="shared" si="3"/>
        <v>E96</v>
      </c>
      <c r="B106" s="223" t="str">
        <f t="shared" si="4"/>
        <v>FILE</v>
      </c>
      <c r="C106" s="224" t="s">
        <v>56</v>
      </c>
      <c r="D106" s="225" t="s">
        <v>49</v>
      </c>
      <c r="E106" s="226" t="s">
        <v>48</v>
      </c>
      <c r="F106" s="227" t="s">
        <v>266</v>
      </c>
      <c r="G106" s="228">
        <v>44148</v>
      </c>
      <c r="H106" s="229" t="s">
        <v>64</v>
      </c>
      <c r="I106" s="225" t="s">
        <v>253</v>
      </c>
      <c r="J106" s="225" t="s">
        <v>327</v>
      </c>
      <c r="K106" s="230">
        <v>1580</v>
      </c>
      <c r="L106" s="228">
        <v>44148</v>
      </c>
      <c r="M106" s="229" t="s">
        <v>44</v>
      </c>
      <c r="N106" s="229"/>
      <c r="O106" s="228"/>
      <c r="P106" s="228">
        <v>44148</v>
      </c>
      <c r="Q10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0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-1580</v>
      </c>
      <c r="U106" s="235">
        <f ca="1">IF(OR(Tabela_Movimentacao[[#This Row],[Status]]="Em Aberto",Tabela_Movimentacao[[#This Row],[Status]]="Prorrogado"),Tabela_Movimentacao[[#This Row],[Valor]],0)</f>
        <v>0</v>
      </c>
      <c r="V106" s="219">
        <f ca="1">IF(Tabela_Movimentacao[[#This Row],[Status]]="Cancelado","",IF(Tabela_Movimentacao[[#This Row],[Status]]&lt;&gt;"Pago","",Tabela_Movimentacao[[#This Row],[Valor]]))</f>
        <v>1580</v>
      </c>
    </row>
    <row r="107" spans="1:22" ht="35.5" hidden="1" customHeight="1" x14ac:dyDescent="0.35">
      <c r="A107" s="222" t="str">
        <f t="shared" ref="A107:A138" si="5">"E"&amp;ROW()-10</f>
        <v>E97</v>
      </c>
      <c r="B107" s="223" t="str">
        <f t="shared" si="4"/>
        <v>FILE</v>
      </c>
      <c r="C107" s="224" t="s">
        <v>62</v>
      </c>
      <c r="D107" s="225" t="s">
        <v>104</v>
      </c>
      <c r="E107" s="226" t="s">
        <v>59</v>
      </c>
      <c r="F107" s="227" t="s">
        <v>262</v>
      </c>
      <c r="G107" s="228">
        <v>44148</v>
      </c>
      <c r="H107" s="229" t="s">
        <v>65</v>
      </c>
      <c r="I107" s="225" t="s">
        <v>222</v>
      </c>
      <c r="J107" s="225" t="s">
        <v>327</v>
      </c>
      <c r="K107" s="230">
        <v>2695.45</v>
      </c>
      <c r="L107" s="228">
        <v>44148</v>
      </c>
      <c r="M107" s="229" t="s">
        <v>44</v>
      </c>
      <c r="N107" s="229"/>
      <c r="O107" s="228"/>
      <c r="P107" s="228">
        <v>44148</v>
      </c>
      <c r="Q10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0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2695.45</v>
      </c>
      <c r="U107" s="235">
        <f ca="1">IF(OR(Tabela_Movimentacao[[#This Row],[Status]]="Em Aberto",Tabela_Movimentacao[[#This Row],[Status]]="Prorrogado"),Tabela_Movimentacao[[#This Row],[Valor]],0)</f>
        <v>0</v>
      </c>
      <c r="V107" s="219">
        <f ca="1">IF(Tabela_Movimentacao[[#This Row],[Status]]="Cancelado","",IF(Tabela_Movimentacao[[#This Row],[Status]]&lt;&gt;"Pago","",Tabela_Movimentacao[[#This Row],[Valor]]))</f>
        <v>2695.45</v>
      </c>
    </row>
    <row r="108" spans="1:22" ht="35.5" hidden="1" customHeight="1" x14ac:dyDescent="0.35">
      <c r="A108" s="222" t="str">
        <f t="shared" si="5"/>
        <v>E98</v>
      </c>
      <c r="B108" s="223" t="str">
        <f t="shared" si="4"/>
        <v>FILE</v>
      </c>
      <c r="C108" s="224" t="s">
        <v>56</v>
      </c>
      <c r="D108" s="225" t="s">
        <v>49</v>
      </c>
      <c r="E108" s="226" t="s">
        <v>48</v>
      </c>
      <c r="F108" s="227" t="s">
        <v>262</v>
      </c>
      <c r="G108" s="228">
        <v>44148</v>
      </c>
      <c r="H108" s="229" t="s">
        <v>65</v>
      </c>
      <c r="I108" s="225" t="s">
        <v>329</v>
      </c>
      <c r="J108" s="225" t="s">
        <v>327</v>
      </c>
      <c r="K108" s="230">
        <v>2695.45</v>
      </c>
      <c r="L108" s="228">
        <v>44148</v>
      </c>
      <c r="M108" s="229" t="s">
        <v>47</v>
      </c>
      <c r="N108" s="229"/>
      <c r="O108" s="228"/>
      <c r="P108" s="228">
        <v>44148</v>
      </c>
      <c r="Q10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0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-2695.45</v>
      </c>
      <c r="U108" s="235">
        <f ca="1">IF(OR(Tabela_Movimentacao[[#This Row],[Status]]="Em Aberto",Tabela_Movimentacao[[#This Row],[Status]]="Prorrogado"),Tabela_Movimentacao[[#This Row],[Valor]],0)</f>
        <v>0</v>
      </c>
      <c r="V108" s="219">
        <f ca="1">IF(Tabela_Movimentacao[[#This Row],[Status]]="Cancelado","",IF(Tabela_Movimentacao[[#This Row],[Status]]&lt;&gt;"Pago","",Tabela_Movimentacao[[#This Row],[Valor]]))</f>
        <v>2695.45</v>
      </c>
    </row>
    <row r="109" spans="1:22" ht="35.5" hidden="1" customHeight="1" x14ac:dyDescent="0.35">
      <c r="A109" s="222" t="str">
        <f t="shared" si="5"/>
        <v>E99</v>
      </c>
      <c r="B109" s="223" t="str">
        <f t="shared" si="4"/>
        <v>FILE</v>
      </c>
      <c r="C109" s="224" t="s">
        <v>56</v>
      </c>
      <c r="D109" s="225" t="s">
        <v>49</v>
      </c>
      <c r="E109" s="226" t="s">
        <v>48</v>
      </c>
      <c r="F109" s="227" t="s">
        <v>265</v>
      </c>
      <c r="G109" s="228">
        <v>44148</v>
      </c>
      <c r="H109" s="229" t="s">
        <v>64</v>
      </c>
      <c r="I109" s="225" t="s">
        <v>252</v>
      </c>
      <c r="J109" s="225" t="s">
        <v>327</v>
      </c>
      <c r="K109" s="230">
        <v>700</v>
      </c>
      <c r="L109" s="228">
        <v>44148</v>
      </c>
      <c r="M109" s="229" t="s">
        <v>44</v>
      </c>
      <c r="N109" s="229"/>
      <c r="O109" s="228"/>
      <c r="P109" s="228">
        <v>44148</v>
      </c>
      <c r="Q10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0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0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0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-700</v>
      </c>
      <c r="U109" s="235">
        <f ca="1">IF(OR(Tabela_Movimentacao[[#This Row],[Status]]="Em Aberto",Tabela_Movimentacao[[#This Row],[Status]]="Prorrogado"),Tabela_Movimentacao[[#This Row],[Valor]],0)</f>
        <v>0</v>
      </c>
      <c r="V109" s="219">
        <f ca="1">IF(Tabela_Movimentacao[[#This Row],[Status]]="Cancelado","",IF(Tabela_Movimentacao[[#This Row],[Status]]&lt;&gt;"Pago","",Tabela_Movimentacao[[#This Row],[Valor]]))</f>
        <v>700</v>
      </c>
    </row>
    <row r="110" spans="1:22" ht="35.5" hidden="1" customHeight="1" x14ac:dyDescent="0.35">
      <c r="A110" s="222" t="str">
        <f t="shared" si="5"/>
        <v>E100</v>
      </c>
      <c r="B110" s="223" t="str">
        <f t="shared" si="4"/>
        <v>FILE</v>
      </c>
      <c r="C110" s="224" t="s">
        <v>62</v>
      </c>
      <c r="D110" s="225" t="s">
        <v>104</v>
      </c>
      <c r="E110" s="226" t="s">
        <v>59</v>
      </c>
      <c r="F110" s="227" t="s">
        <v>265</v>
      </c>
      <c r="G110" s="228">
        <v>44148</v>
      </c>
      <c r="H110" s="229" t="s">
        <v>63</v>
      </c>
      <c r="I110" s="225" t="s">
        <v>222</v>
      </c>
      <c r="J110" s="225" t="s">
        <v>327</v>
      </c>
      <c r="K110" s="230">
        <v>2604</v>
      </c>
      <c r="L110" s="228">
        <v>44148</v>
      </c>
      <c r="M110" s="229" t="s">
        <v>44</v>
      </c>
      <c r="N110" s="229"/>
      <c r="O110" s="228"/>
      <c r="P110" s="228">
        <v>44148</v>
      </c>
      <c r="Q11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1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2604</v>
      </c>
      <c r="U110" s="235">
        <f ca="1">IF(OR(Tabela_Movimentacao[[#This Row],[Status]]="Em Aberto",Tabela_Movimentacao[[#This Row],[Status]]="Prorrogado"),Tabela_Movimentacao[[#This Row],[Valor]],0)</f>
        <v>0</v>
      </c>
      <c r="V110" s="219">
        <f ca="1">IF(Tabela_Movimentacao[[#This Row],[Status]]="Cancelado","",IF(Tabela_Movimentacao[[#This Row],[Status]]&lt;&gt;"Pago","",Tabela_Movimentacao[[#This Row],[Valor]]))</f>
        <v>2604</v>
      </c>
    </row>
    <row r="111" spans="1:22" ht="35.5" hidden="1" customHeight="1" x14ac:dyDescent="0.35">
      <c r="A111" s="222" t="str">
        <f t="shared" si="5"/>
        <v>E101</v>
      </c>
      <c r="B111" s="223" t="str">
        <f t="shared" si="4"/>
        <v>FILE</v>
      </c>
      <c r="C111" s="224" t="s">
        <v>62</v>
      </c>
      <c r="D111" s="225" t="s">
        <v>104</v>
      </c>
      <c r="E111" s="226" t="s">
        <v>59</v>
      </c>
      <c r="F111" s="227" t="s">
        <v>265</v>
      </c>
      <c r="G111" s="228">
        <v>44148</v>
      </c>
      <c r="H111" s="229" t="s">
        <v>64</v>
      </c>
      <c r="I111" s="225" t="s">
        <v>222</v>
      </c>
      <c r="J111" s="225" t="s">
        <v>327</v>
      </c>
      <c r="K111" s="230">
        <v>700</v>
      </c>
      <c r="L111" s="228">
        <v>44148</v>
      </c>
      <c r="M111" s="229" t="s">
        <v>44</v>
      </c>
      <c r="N111" s="229"/>
      <c r="O111" s="228"/>
      <c r="P111" s="228">
        <v>44148</v>
      </c>
      <c r="Q11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1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700</v>
      </c>
      <c r="U111" s="235">
        <f ca="1">IF(OR(Tabela_Movimentacao[[#This Row],[Status]]="Em Aberto",Tabela_Movimentacao[[#This Row],[Status]]="Prorrogado"),Tabela_Movimentacao[[#This Row],[Valor]],0)</f>
        <v>0</v>
      </c>
      <c r="V111" s="219">
        <f ca="1">IF(Tabela_Movimentacao[[#This Row],[Status]]="Cancelado","",IF(Tabela_Movimentacao[[#This Row],[Status]]&lt;&gt;"Pago","",Tabela_Movimentacao[[#This Row],[Valor]]))</f>
        <v>700</v>
      </c>
    </row>
    <row r="112" spans="1:22" ht="35.5" hidden="1" customHeight="1" x14ac:dyDescent="0.35">
      <c r="A112" s="222" t="str">
        <f t="shared" si="5"/>
        <v>E102</v>
      </c>
      <c r="B112" s="223" t="str">
        <f t="shared" si="4"/>
        <v>FILE</v>
      </c>
      <c r="C112" s="224" t="s">
        <v>56</v>
      </c>
      <c r="D112" s="225" t="s">
        <v>49</v>
      </c>
      <c r="E112" s="226" t="s">
        <v>48</v>
      </c>
      <c r="F112" s="227" t="s">
        <v>265</v>
      </c>
      <c r="G112" s="228">
        <v>44148</v>
      </c>
      <c r="H112" s="229" t="s">
        <v>63</v>
      </c>
      <c r="I112" s="225" t="s">
        <v>252</v>
      </c>
      <c r="J112" s="225" t="s">
        <v>327</v>
      </c>
      <c r="K112" s="230">
        <v>2604</v>
      </c>
      <c r="L112" s="228">
        <v>44148</v>
      </c>
      <c r="M112" s="229" t="s">
        <v>44</v>
      </c>
      <c r="N112" s="229"/>
      <c r="O112" s="228"/>
      <c r="P112" s="228">
        <v>44148</v>
      </c>
      <c r="Q11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1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-2604</v>
      </c>
      <c r="U112" s="235">
        <f ca="1">IF(OR(Tabela_Movimentacao[[#This Row],[Status]]="Em Aberto",Tabela_Movimentacao[[#This Row],[Status]]="Prorrogado"),Tabela_Movimentacao[[#This Row],[Valor]],0)</f>
        <v>0</v>
      </c>
      <c r="V112" s="219">
        <f ca="1">IF(Tabela_Movimentacao[[#This Row],[Status]]="Cancelado","",IF(Tabela_Movimentacao[[#This Row],[Status]]&lt;&gt;"Pago","",Tabela_Movimentacao[[#This Row],[Valor]]))</f>
        <v>2604</v>
      </c>
    </row>
    <row r="113" spans="1:22" ht="35.5" hidden="1" customHeight="1" x14ac:dyDescent="0.35">
      <c r="A113" s="222" t="str">
        <f t="shared" si="5"/>
        <v>E103</v>
      </c>
      <c r="B113" s="223" t="str">
        <f t="shared" si="4"/>
        <v>FILE</v>
      </c>
      <c r="C113" s="224" t="s">
        <v>62</v>
      </c>
      <c r="D113" s="225" t="s">
        <v>104</v>
      </c>
      <c r="E113" s="226" t="s">
        <v>59</v>
      </c>
      <c r="F113" s="227" t="s">
        <v>264</v>
      </c>
      <c r="G113" s="228">
        <v>44148</v>
      </c>
      <c r="H113" s="229" t="s">
        <v>63</v>
      </c>
      <c r="I113" s="225" t="s">
        <v>222</v>
      </c>
      <c r="J113" s="225" t="s">
        <v>327</v>
      </c>
      <c r="K113" s="230">
        <v>1300</v>
      </c>
      <c r="L113" s="228">
        <v>44148</v>
      </c>
      <c r="M113" s="229" t="s">
        <v>44</v>
      </c>
      <c r="N113" s="229"/>
      <c r="O113" s="228"/>
      <c r="P113" s="228">
        <v>44148</v>
      </c>
      <c r="Q11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1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1300</v>
      </c>
      <c r="U113" s="235">
        <f ca="1">IF(OR(Tabela_Movimentacao[[#This Row],[Status]]="Em Aberto",Tabela_Movimentacao[[#This Row],[Status]]="Prorrogado"),Tabela_Movimentacao[[#This Row],[Valor]],0)</f>
        <v>0</v>
      </c>
      <c r="V113" s="219">
        <f ca="1">IF(Tabela_Movimentacao[[#This Row],[Status]]="Cancelado","",IF(Tabela_Movimentacao[[#This Row],[Status]]&lt;&gt;"Pago","",Tabela_Movimentacao[[#This Row],[Valor]]))</f>
        <v>1300</v>
      </c>
    </row>
    <row r="114" spans="1:22" ht="35.5" hidden="1" customHeight="1" x14ac:dyDescent="0.35">
      <c r="A114" s="222" t="str">
        <f t="shared" si="5"/>
        <v>E104</v>
      </c>
      <c r="B114" s="223" t="str">
        <f t="shared" si="4"/>
        <v>FILE</v>
      </c>
      <c r="C114" s="224" t="s">
        <v>56</v>
      </c>
      <c r="D114" s="225" t="s">
        <v>49</v>
      </c>
      <c r="E114" s="226" t="s">
        <v>48</v>
      </c>
      <c r="F114" s="227" t="s">
        <v>264</v>
      </c>
      <c r="G114" s="228">
        <v>44148</v>
      </c>
      <c r="H114" s="229" t="s">
        <v>63</v>
      </c>
      <c r="I114" s="225" t="s">
        <v>254</v>
      </c>
      <c r="J114" s="225" t="s">
        <v>327</v>
      </c>
      <c r="K114" s="230">
        <v>1300</v>
      </c>
      <c r="L114" s="228">
        <v>44148</v>
      </c>
      <c r="M114" s="229" t="s">
        <v>44</v>
      </c>
      <c r="N114" s="229"/>
      <c r="O114" s="228"/>
      <c r="P114" s="228">
        <v>44148</v>
      </c>
      <c r="Q11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44148</v>
      </c>
      <c r="S11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-1300</v>
      </c>
      <c r="U114" s="235">
        <f ca="1">IF(OR(Tabela_Movimentacao[[#This Row],[Status]]="Em Aberto",Tabela_Movimentacao[[#This Row],[Status]]="Prorrogado"),Tabela_Movimentacao[[#This Row],[Valor]],0)</f>
        <v>0</v>
      </c>
      <c r="V114" s="219">
        <f ca="1">IF(Tabela_Movimentacao[[#This Row],[Status]]="Cancelado","",IF(Tabela_Movimentacao[[#This Row],[Status]]&lt;&gt;"Pago","",Tabela_Movimentacao[[#This Row],[Valor]]))</f>
        <v>1300</v>
      </c>
    </row>
    <row r="115" spans="1:22" ht="35.5" hidden="1" customHeight="1" x14ac:dyDescent="0.35">
      <c r="A115" s="222" t="str">
        <f t="shared" si="5"/>
        <v>E105</v>
      </c>
      <c r="B115" s="223" t="str">
        <f t="shared" si="4"/>
        <v>FILE</v>
      </c>
      <c r="C115" s="224" t="s">
        <v>89</v>
      </c>
      <c r="D115" s="225" t="s">
        <v>91</v>
      </c>
      <c r="E115" s="226" t="s">
        <v>223</v>
      </c>
      <c r="F115" s="227" t="s">
        <v>373</v>
      </c>
      <c r="G115" s="228">
        <v>44152</v>
      </c>
      <c r="H115" s="229" t="s">
        <v>79</v>
      </c>
      <c r="I115" s="225" t="s">
        <v>222</v>
      </c>
      <c r="J115" s="225" t="s">
        <v>327</v>
      </c>
      <c r="K115" s="230">
        <v>1000</v>
      </c>
      <c r="L115" s="228">
        <v>44152</v>
      </c>
      <c r="M115" s="229" t="s">
        <v>47</v>
      </c>
      <c r="N115" s="229"/>
      <c r="O115" s="228"/>
      <c r="P115" s="228">
        <v>44152</v>
      </c>
      <c r="Q11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44152</v>
      </c>
      <c r="S11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</v>
      </c>
      <c r="U115" s="235">
        <f ca="1">IF(OR(Tabela_Movimentacao[[#This Row],[Status]]="Em Aberto",Tabela_Movimentacao[[#This Row],[Status]]="Prorrogado"),Tabela_Movimentacao[[#This Row],[Valor]],0)</f>
        <v>0</v>
      </c>
      <c r="V115" s="219">
        <f ca="1">IF(Tabela_Movimentacao[[#This Row],[Status]]="Cancelado","",IF(Tabela_Movimentacao[[#This Row],[Status]]&lt;&gt;"Pago","",Tabela_Movimentacao[[#This Row],[Valor]]))</f>
        <v>1000</v>
      </c>
    </row>
    <row r="116" spans="1:22" ht="35.5" hidden="1" customHeight="1" x14ac:dyDescent="0.35">
      <c r="A116" s="222" t="str">
        <f t="shared" si="5"/>
        <v>E106</v>
      </c>
      <c r="B116" s="223" t="str">
        <f t="shared" si="4"/>
        <v>FILE</v>
      </c>
      <c r="C116" s="224" t="s">
        <v>62</v>
      </c>
      <c r="D116" s="225" t="s">
        <v>104</v>
      </c>
      <c r="E116" s="226" t="s">
        <v>59</v>
      </c>
      <c r="F116" s="227" t="s">
        <v>267</v>
      </c>
      <c r="G116" s="228">
        <v>44154</v>
      </c>
      <c r="H116" s="229" t="s">
        <v>63</v>
      </c>
      <c r="I116" s="225" t="s">
        <v>222</v>
      </c>
      <c r="J116" s="225" t="s">
        <v>327</v>
      </c>
      <c r="K116" s="230">
        <v>2824.25</v>
      </c>
      <c r="L116" s="228">
        <v>44154</v>
      </c>
      <c r="M116" s="229" t="s">
        <v>47</v>
      </c>
      <c r="N116" s="229"/>
      <c r="O116" s="228"/>
      <c r="P116" s="228">
        <v>44154</v>
      </c>
      <c r="Q11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44154</v>
      </c>
      <c r="S11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2824.25</v>
      </c>
      <c r="U116" s="235">
        <f ca="1">IF(OR(Tabela_Movimentacao[[#This Row],[Status]]="Em Aberto",Tabela_Movimentacao[[#This Row],[Status]]="Prorrogado"),Tabela_Movimentacao[[#This Row],[Valor]],0)</f>
        <v>0</v>
      </c>
      <c r="V116" s="219">
        <f ca="1">IF(Tabela_Movimentacao[[#This Row],[Status]]="Cancelado","",IF(Tabela_Movimentacao[[#This Row],[Status]]&lt;&gt;"Pago","",Tabela_Movimentacao[[#This Row],[Valor]]))</f>
        <v>2824.25</v>
      </c>
    </row>
    <row r="117" spans="1:22" ht="35.5" hidden="1" customHeight="1" x14ac:dyDescent="0.35">
      <c r="A117" s="222" t="str">
        <f t="shared" si="5"/>
        <v>E107</v>
      </c>
      <c r="B117" s="223" t="str">
        <f t="shared" si="4"/>
        <v>FILE</v>
      </c>
      <c r="C117" s="224" t="s">
        <v>56</v>
      </c>
      <c r="D117" s="225" t="s">
        <v>49</v>
      </c>
      <c r="E117" s="226" t="s">
        <v>50</v>
      </c>
      <c r="F117" s="227" t="s">
        <v>267</v>
      </c>
      <c r="G117" s="228">
        <v>44154</v>
      </c>
      <c r="H117" s="229" t="s">
        <v>63</v>
      </c>
      <c r="I117" s="225" t="s">
        <v>329</v>
      </c>
      <c r="J117" s="225" t="s">
        <v>327</v>
      </c>
      <c r="K117" s="230">
        <v>2824.25</v>
      </c>
      <c r="L117" s="228">
        <v>44154</v>
      </c>
      <c r="M117" s="229" t="s">
        <v>47</v>
      </c>
      <c r="N117" s="229"/>
      <c r="O117" s="228"/>
      <c r="P117" s="228">
        <v>44154</v>
      </c>
      <c r="Q11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44154</v>
      </c>
      <c r="S11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-2824.25</v>
      </c>
      <c r="U117" s="235">
        <f ca="1">IF(OR(Tabela_Movimentacao[[#This Row],[Status]]="Em Aberto",Tabela_Movimentacao[[#This Row],[Status]]="Prorrogado"),Tabela_Movimentacao[[#This Row],[Valor]],0)</f>
        <v>0</v>
      </c>
      <c r="V117" s="219">
        <f ca="1">IF(Tabela_Movimentacao[[#This Row],[Status]]="Cancelado","",IF(Tabela_Movimentacao[[#This Row],[Status]]&lt;&gt;"Pago","",Tabela_Movimentacao[[#This Row],[Valor]]))</f>
        <v>2824.25</v>
      </c>
    </row>
    <row r="118" spans="1:22" ht="35.5" hidden="1" customHeight="1" x14ac:dyDescent="0.35">
      <c r="A118" s="222" t="str">
        <f t="shared" si="5"/>
        <v>E108</v>
      </c>
      <c r="B118" s="223" t="str">
        <f t="shared" si="4"/>
        <v>FILE</v>
      </c>
      <c r="C118" s="224" t="s">
        <v>62</v>
      </c>
      <c r="D118" s="225" t="s">
        <v>104</v>
      </c>
      <c r="E118" s="226" t="s">
        <v>59</v>
      </c>
      <c r="F118" s="227" t="s">
        <v>267</v>
      </c>
      <c r="G118" s="228">
        <v>44155</v>
      </c>
      <c r="H118" s="229" t="s">
        <v>65</v>
      </c>
      <c r="I118" s="225" t="s">
        <v>222</v>
      </c>
      <c r="J118" s="225" t="s">
        <v>327</v>
      </c>
      <c r="K118" s="230">
        <v>2824.25</v>
      </c>
      <c r="L118" s="228">
        <v>44155</v>
      </c>
      <c r="M118" s="229" t="s">
        <v>47</v>
      </c>
      <c r="N118" s="229"/>
      <c r="O118" s="228"/>
      <c r="P118" s="228">
        <v>44155</v>
      </c>
      <c r="Q11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44155</v>
      </c>
      <c r="S11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2824.25</v>
      </c>
      <c r="U118" s="235">
        <f ca="1">IF(OR(Tabela_Movimentacao[[#This Row],[Status]]="Em Aberto",Tabela_Movimentacao[[#This Row],[Status]]="Prorrogado"),Tabela_Movimentacao[[#This Row],[Valor]],0)</f>
        <v>0</v>
      </c>
      <c r="V118" s="219">
        <f ca="1">IF(Tabela_Movimentacao[[#This Row],[Status]]="Cancelado","",IF(Tabela_Movimentacao[[#This Row],[Status]]&lt;&gt;"Pago","",Tabela_Movimentacao[[#This Row],[Valor]]))</f>
        <v>2824.25</v>
      </c>
    </row>
    <row r="119" spans="1:22" ht="35.5" hidden="1" customHeight="1" x14ac:dyDescent="0.35">
      <c r="A119" s="222" t="str">
        <f t="shared" si="5"/>
        <v>E109</v>
      </c>
      <c r="B119" s="223" t="str">
        <f t="shared" si="4"/>
        <v>FILE</v>
      </c>
      <c r="C119" s="224" t="s">
        <v>56</v>
      </c>
      <c r="D119" s="225" t="s">
        <v>49</v>
      </c>
      <c r="E119" s="226" t="s">
        <v>50</v>
      </c>
      <c r="F119" s="227" t="s">
        <v>267</v>
      </c>
      <c r="G119" s="228">
        <v>44155</v>
      </c>
      <c r="H119" s="229" t="s">
        <v>65</v>
      </c>
      <c r="I119" s="225" t="s">
        <v>329</v>
      </c>
      <c r="J119" s="225" t="s">
        <v>327</v>
      </c>
      <c r="K119" s="230">
        <v>2824.25</v>
      </c>
      <c r="L119" s="228">
        <v>44155</v>
      </c>
      <c r="M119" s="229" t="s">
        <v>47</v>
      </c>
      <c r="N119" s="229"/>
      <c r="O119" s="228"/>
      <c r="P119" s="228">
        <v>44155</v>
      </c>
      <c r="Q11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1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44155</v>
      </c>
      <c r="S11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1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-2824.25</v>
      </c>
      <c r="U119" s="235">
        <f ca="1">IF(OR(Tabela_Movimentacao[[#This Row],[Status]]="Em Aberto",Tabela_Movimentacao[[#This Row],[Status]]="Prorrogado"),Tabela_Movimentacao[[#This Row],[Valor]],0)</f>
        <v>0</v>
      </c>
      <c r="V119" s="219">
        <f ca="1">IF(Tabela_Movimentacao[[#This Row],[Status]]="Cancelado","",IF(Tabela_Movimentacao[[#This Row],[Status]]&lt;&gt;"Pago","",Tabela_Movimentacao[[#This Row],[Valor]]))</f>
        <v>2824.25</v>
      </c>
    </row>
    <row r="120" spans="1:22" ht="35.5" hidden="1" customHeight="1" x14ac:dyDescent="0.35">
      <c r="A120" s="222" t="str">
        <f t="shared" si="5"/>
        <v>E110</v>
      </c>
      <c r="B120" s="223" t="str">
        <f t="shared" si="4"/>
        <v>FILE</v>
      </c>
      <c r="C120" s="224" t="s">
        <v>62</v>
      </c>
      <c r="D120" s="225" t="s">
        <v>104</v>
      </c>
      <c r="E120" s="226" t="s">
        <v>59</v>
      </c>
      <c r="F120" s="227" t="s">
        <v>268</v>
      </c>
      <c r="G120" s="228">
        <v>44155</v>
      </c>
      <c r="H120" s="229" t="s">
        <v>64</v>
      </c>
      <c r="I120" s="225" t="s">
        <v>222</v>
      </c>
      <c r="J120" s="225" t="s">
        <v>327</v>
      </c>
      <c r="K120" s="230">
        <v>5648.5</v>
      </c>
      <c r="L120" s="228">
        <v>44155</v>
      </c>
      <c r="M120" s="229" t="s">
        <v>47</v>
      </c>
      <c r="N120" s="229"/>
      <c r="O120" s="228"/>
      <c r="P120" s="228">
        <v>44155</v>
      </c>
      <c r="Q12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44155</v>
      </c>
      <c r="S12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5648.5</v>
      </c>
      <c r="U120" s="235">
        <f ca="1">IF(OR(Tabela_Movimentacao[[#This Row],[Status]]="Em Aberto",Tabela_Movimentacao[[#This Row],[Status]]="Prorrogado"),Tabela_Movimentacao[[#This Row],[Valor]],0)</f>
        <v>0</v>
      </c>
      <c r="V120" s="219">
        <f ca="1">IF(Tabela_Movimentacao[[#This Row],[Status]]="Cancelado","",IF(Tabela_Movimentacao[[#This Row],[Status]]&lt;&gt;"Pago","",Tabela_Movimentacao[[#This Row],[Valor]]))</f>
        <v>5648.5</v>
      </c>
    </row>
    <row r="121" spans="1:22" ht="35.5" hidden="1" customHeight="1" x14ac:dyDescent="0.35">
      <c r="A121" s="222" t="str">
        <f t="shared" si="5"/>
        <v>E111</v>
      </c>
      <c r="B121" s="223" t="str">
        <f t="shared" si="4"/>
        <v>FILE</v>
      </c>
      <c r="C121" s="224" t="s">
        <v>56</v>
      </c>
      <c r="D121" s="225" t="s">
        <v>49</v>
      </c>
      <c r="E121" s="226" t="s">
        <v>50</v>
      </c>
      <c r="F121" s="227" t="s">
        <v>268</v>
      </c>
      <c r="G121" s="228">
        <v>44155</v>
      </c>
      <c r="H121" s="229" t="s">
        <v>64</v>
      </c>
      <c r="I121" s="225" t="s">
        <v>329</v>
      </c>
      <c r="J121" s="225" t="s">
        <v>327</v>
      </c>
      <c r="K121" s="230">
        <v>5648.5</v>
      </c>
      <c r="L121" s="228">
        <v>44155</v>
      </c>
      <c r="M121" s="229" t="s">
        <v>47</v>
      </c>
      <c r="N121" s="229"/>
      <c r="O121" s="228"/>
      <c r="P121" s="228">
        <v>44155</v>
      </c>
      <c r="Q12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44155</v>
      </c>
      <c r="S12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-5648.5</v>
      </c>
      <c r="U121" s="235">
        <f ca="1">IF(OR(Tabela_Movimentacao[[#This Row],[Status]]="Em Aberto",Tabela_Movimentacao[[#This Row],[Status]]="Prorrogado"),Tabela_Movimentacao[[#This Row],[Valor]],0)</f>
        <v>0</v>
      </c>
      <c r="V121" s="219">
        <f ca="1">IF(Tabela_Movimentacao[[#This Row],[Status]]="Cancelado","",IF(Tabela_Movimentacao[[#This Row],[Status]]&lt;&gt;"Pago","",Tabela_Movimentacao[[#This Row],[Valor]]))</f>
        <v>5648.5</v>
      </c>
    </row>
    <row r="122" spans="1:22" ht="35.5" hidden="1" customHeight="1" x14ac:dyDescent="0.35">
      <c r="A122" s="222" t="str">
        <f t="shared" si="5"/>
        <v>E112</v>
      </c>
      <c r="B122" s="223" t="str">
        <f t="shared" si="4"/>
        <v>FILE</v>
      </c>
      <c r="C122" s="224" t="s">
        <v>62</v>
      </c>
      <c r="D122" s="225" t="s">
        <v>104</v>
      </c>
      <c r="E122" s="226" t="s">
        <v>59</v>
      </c>
      <c r="F122" s="227" t="s">
        <v>269</v>
      </c>
      <c r="G122" s="228">
        <v>44162</v>
      </c>
      <c r="H122" s="229" t="s">
        <v>65</v>
      </c>
      <c r="I122" s="225" t="s">
        <v>222</v>
      </c>
      <c r="J122" s="225" t="s">
        <v>327</v>
      </c>
      <c r="K122" s="230">
        <v>1763.06</v>
      </c>
      <c r="L122" s="228">
        <v>44162</v>
      </c>
      <c r="M122" s="229" t="s">
        <v>47</v>
      </c>
      <c r="N122" s="229"/>
      <c r="O122" s="228"/>
      <c r="P122" s="228">
        <v>44162</v>
      </c>
      <c r="Q12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1763.06</v>
      </c>
      <c r="U122" s="235">
        <f ca="1">IF(OR(Tabela_Movimentacao[[#This Row],[Status]]="Em Aberto",Tabela_Movimentacao[[#This Row],[Status]]="Prorrogado"),Tabela_Movimentacao[[#This Row],[Valor]],0)</f>
        <v>0</v>
      </c>
      <c r="V122" s="219">
        <f ca="1">IF(Tabela_Movimentacao[[#This Row],[Status]]="Cancelado","",IF(Tabela_Movimentacao[[#This Row],[Status]]&lt;&gt;"Pago","",Tabela_Movimentacao[[#This Row],[Valor]]))</f>
        <v>1763.06</v>
      </c>
    </row>
    <row r="123" spans="1:22" ht="35.5" hidden="1" customHeight="1" x14ac:dyDescent="0.35">
      <c r="A123" s="222" t="str">
        <f t="shared" si="5"/>
        <v>E113</v>
      </c>
      <c r="B123" s="223" t="str">
        <f t="shared" si="4"/>
        <v>FILE</v>
      </c>
      <c r="C123" s="224" t="s">
        <v>62</v>
      </c>
      <c r="D123" s="225" t="s">
        <v>104</v>
      </c>
      <c r="E123" s="226" t="s">
        <v>59</v>
      </c>
      <c r="F123" s="227" t="s">
        <v>269</v>
      </c>
      <c r="G123" s="228">
        <v>44162</v>
      </c>
      <c r="H123" s="229" t="s">
        <v>63</v>
      </c>
      <c r="I123" s="225" t="s">
        <v>222</v>
      </c>
      <c r="J123" s="225" t="s">
        <v>327</v>
      </c>
      <c r="K123" s="230">
        <v>1763.06</v>
      </c>
      <c r="L123" s="228">
        <v>44162</v>
      </c>
      <c r="M123" s="229" t="s">
        <v>47</v>
      </c>
      <c r="N123" s="229"/>
      <c r="O123" s="228"/>
      <c r="P123" s="228">
        <v>44162</v>
      </c>
      <c r="Q12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1763.06</v>
      </c>
      <c r="U123" s="235">
        <f ca="1">IF(OR(Tabela_Movimentacao[[#This Row],[Status]]="Em Aberto",Tabela_Movimentacao[[#This Row],[Status]]="Prorrogado"),Tabela_Movimentacao[[#This Row],[Valor]],0)</f>
        <v>0</v>
      </c>
      <c r="V123" s="219">
        <f ca="1">IF(Tabela_Movimentacao[[#This Row],[Status]]="Cancelado","",IF(Tabela_Movimentacao[[#This Row],[Status]]&lt;&gt;"Pago","",Tabela_Movimentacao[[#This Row],[Valor]]))</f>
        <v>1763.06</v>
      </c>
    </row>
    <row r="124" spans="1:22" ht="35.5" hidden="1" customHeight="1" x14ac:dyDescent="0.35">
      <c r="A124" s="222" t="str">
        <f t="shared" si="5"/>
        <v>E114</v>
      </c>
      <c r="B124" s="223" t="str">
        <f t="shared" si="4"/>
        <v>FILE</v>
      </c>
      <c r="C124" s="224" t="s">
        <v>56</v>
      </c>
      <c r="D124" s="225" t="s">
        <v>49</v>
      </c>
      <c r="E124" s="226" t="s">
        <v>50</v>
      </c>
      <c r="F124" s="227" t="s">
        <v>269</v>
      </c>
      <c r="G124" s="228">
        <v>44162</v>
      </c>
      <c r="H124" s="229" t="s">
        <v>65</v>
      </c>
      <c r="I124" s="225" t="s">
        <v>329</v>
      </c>
      <c r="J124" s="225" t="s">
        <v>327</v>
      </c>
      <c r="K124" s="230">
        <v>1763.06</v>
      </c>
      <c r="L124" s="228">
        <v>44162</v>
      </c>
      <c r="M124" s="229" t="s">
        <v>47</v>
      </c>
      <c r="N124" s="229"/>
      <c r="O124" s="228"/>
      <c r="P124" s="228">
        <v>44162</v>
      </c>
      <c r="Q12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-1763.06</v>
      </c>
      <c r="U124" s="235">
        <f ca="1">IF(OR(Tabela_Movimentacao[[#This Row],[Status]]="Em Aberto",Tabela_Movimentacao[[#This Row],[Status]]="Prorrogado"),Tabela_Movimentacao[[#This Row],[Valor]],0)</f>
        <v>0</v>
      </c>
      <c r="V124" s="219">
        <f ca="1">IF(Tabela_Movimentacao[[#This Row],[Status]]="Cancelado","",IF(Tabela_Movimentacao[[#This Row],[Status]]&lt;&gt;"Pago","",Tabela_Movimentacao[[#This Row],[Valor]]))</f>
        <v>1763.06</v>
      </c>
    </row>
    <row r="125" spans="1:22" ht="35.5" hidden="1" customHeight="1" x14ac:dyDescent="0.35">
      <c r="A125" s="222" t="str">
        <f t="shared" si="5"/>
        <v>E115</v>
      </c>
      <c r="B125" s="223" t="str">
        <f t="shared" si="4"/>
        <v>FILE</v>
      </c>
      <c r="C125" s="224" t="s">
        <v>56</v>
      </c>
      <c r="D125" s="225" t="s">
        <v>49</v>
      </c>
      <c r="E125" s="226" t="s">
        <v>50</v>
      </c>
      <c r="F125" s="227" t="s">
        <v>269</v>
      </c>
      <c r="G125" s="228">
        <v>44162</v>
      </c>
      <c r="H125" s="229" t="s">
        <v>63</v>
      </c>
      <c r="I125" s="225" t="s">
        <v>329</v>
      </c>
      <c r="J125" s="225" t="s">
        <v>327</v>
      </c>
      <c r="K125" s="230">
        <v>1763.06</v>
      </c>
      <c r="L125" s="228">
        <v>44162</v>
      </c>
      <c r="M125" s="229" t="s">
        <v>47</v>
      </c>
      <c r="N125" s="229"/>
      <c r="O125" s="228"/>
      <c r="P125" s="228">
        <v>44162</v>
      </c>
      <c r="Q12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-1763.06</v>
      </c>
      <c r="U125" s="235">
        <f ca="1">IF(OR(Tabela_Movimentacao[[#This Row],[Status]]="Em Aberto",Tabela_Movimentacao[[#This Row],[Status]]="Prorrogado"),Tabela_Movimentacao[[#This Row],[Valor]],0)</f>
        <v>0</v>
      </c>
      <c r="V125" s="219">
        <f ca="1">IF(Tabela_Movimentacao[[#This Row],[Status]]="Cancelado","",IF(Tabela_Movimentacao[[#This Row],[Status]]&lt;&gt;"Pago","",Tabela_Movimentacao[[#This Row],[Valor]]))</f>
        <v>1763.06</v>
      </c>
    </row>
    <row r="126" spans="1:22" ht="35.5" hidden="1" customHeight="1" x14ac:dyDescent="0.35">
      <c r="A126" s="222" t="str">
        <f t="shared" si="5"/>
        <v>E116</v>
      </c>
      <c r="B126" s="223" t="str">
        <f t="shared" si="4"/>
        <v>FILE</v>
      </c>
      <c r="C126" s="224" t="s">
        <v>62</v>
      </c>
      <c r="D126" s="225" t="s">
        <v>104</v>
      </c>
      <c r="E126" s="226" t="s">
        <v>59</v>
      </c>
      <c r="F126" s="227" t="s">
        <v>270</v>
      </c>
      <c r="G126" s="228">
        <v>44162</v>
      </c>
      <c r="H126" s="229" t="s">
        <v>64</v>
      </c>
      <c r="I126" s="225" t="s">
        <v>222</v>
      </c>
      <c r="J126" s="225" t="s">
        <v>327</v>
      </c>
      <c r="K126" s="230">
        <v>3526.11</v>
      </c>
      <c r="L126" s="228">
        <v>44162</v>
      </c>
      <c r="M126" s="229" t="s">
        <v>47</v>
      </c>
      <c r="N126" s="229"/>
      <c r="O126" s="228"/>
      <c r="P126" s="228">
        <v>44162</v>
      </c>
      <c r="Q12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3526.11</v>
      </c>
      <c r="U126" s="235">
        <f ca="1">IF(OR(Tabela_Movimentacao[[#This Row],[Status]]="Em Aberto",Tabela_Movimentacao[[#This Row],[Status]]="Prorrogado"),Tabela_Movimentacao[[#This Row],[Valor]],0)</f>
        <v>0</v>
      </c>
      <c r="V126" s="219">
        <f ca="1">IF(Tabela_Movimentacao[[#This Row],[Status]]="Cancelado","",IF(Tabela_Movimentacao[[#This Row],[Status]]&lt;&gt;"Pago","",Tabela_Movimentacao[[#This Row],[Valor]]))</f>
        <v>3526.11</v>
      </c>
    </row>
    <row r="127" spans="1:22" ht="35.5" hidden="1" customHeight="1" x14ac:dyDescent="0.35">
      <c r="A127" s="222" t="str">
        <f t="shared" si="5"/>
        <v>E117</v>
      </c>
      <c r="B127" s="223" t="str">
        <f t="shared" si="4"/>
        <v>FILE</v>
      </c>
      <c r="C127" s="224" t="s">
        <v>56</v>
      </c>
      <c r="D127" s="225" t="s">
        <v>49</v>
      </c>
      <c r="E127" s="226" t="s">
        <v>50</v>
      </c>
      <c r="F127" s="227" t="s">
        <v>270</v>
      </c>
      <c r="G127" s="228">
        <v>44162</v>
      </c>
      <c r="H127" s="229" t="s">
        <v>64</v>
      </c>
      <c r="I127" s="225" t="s">
        <v>329</v>
      </c>
      <c r="J127" s="225" t="s">
        <v>327</v>
      </c>
      <c r="K127" s="230">
        <v>3526.11</v>
      </c>
      <c r="L127" s="228">
        <v>44162</v>
      </c>
      <c r="M127" s="229" t="s">
        <v>47</v>
      </c>
      <c r="N127" s="229"/>
      <c r="O127" s="228"/>
      <c r="P127" s="228">
        <v>44162</v>
      </c>
      <c r="Q12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-3526.11</v>
      </c>
      <c r="U127" s="235">
        <f ca="1">IF(OR(Tabela_Movimentacao[[#This Row],[Status]]="Em Aberto",Tabela_Movimentacao[[#This Row],[Status]]="Prorrogado"),Tabela_Movimentacao[[#This Row],[Valor]],0)</f>
        <v>0</v>
      </c>
      <c r="V127" s="219">
        <f ca="1">IF(Tabela_Movimentacao[[#This Row],[Status]]="Cancelado","",IF(Tabela_Movimentacao[[#This Row],[Status]]&lt;&gt;"Pago","",Tabela_Movimentacao[[#This Row],[Valor]]))</f>
        <v>3526.11</v>
      </c>
    </row>
    <row r="128" spans="1:22" ht="35.5" hidden="1" customHeight="1" x14ac:dyDescent="0.35">
      <c r="A128" s="222" t="str">
        <f t="shared" si="5"/>
        <v>E118</v>
      </c>
      <c r="B128" s="223" t="str">
        <f t="shared" si="4"/>
        <v>FILE</v>
      </c>
      <c r="C128" s="224" t="s">
        <v>62</v>
      </c>
      <c r="D128" s="225" t="s">
        <v>104</v>
      </c>
      <c r="E128" s="226" t="s">
        <v>59</v>
      </c>
      <c r="F128" s="227" t="s">
        <v>271</v>
      </c>
      <c r="G128" s="228">
        <v>44162</v>
      </c>
      <c r="H128" s="229" t="s">
        <v>65</v>
      </c>
      <c r="I128" s="225" t="s">
        <v>222</v>
      </c>
      <c r="J128" s="225" t="s">
        <v>327</v>
      </c>
      <c r="K128" s="230">
        <v>4832.5</v>
      </c>
      <c r="L128" s="228">
        <v>44162</v>
      </c>
      <c r="M128" s="229" t="s">
        <v>44</v>
      </c>
      <c r="N128" s="229"/>
      <c r="O128" s="228"/>
      <c r="P128" s="228">
        <v>44162</v>
      </c>
      <c r="Q12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4832.5</v>
      </c>
      <c r="U128" s="235">
        <f ca="1">IF(OR(Tabela_Movimentacao[[#This Row],[Status]]="Em Aberto",Tabela_Movimentacao[[#This Row],[Status]]="Prorrogado"),Tabela_Movimentacao[[#This Row],[Valor]],0)</f>
        <v>0</v>
      </c>
      <c r="V128" s="219">
        <f ca="1">IF(Tabela_Movimentacao[[#This Row],[Status]]="Cancelado","",IF(Tabela_Movimentacao[[#This Row],[Status]]&lt;&gt;"Pago","",Tabela_Movimentacao[[#This Row],[Valor]]))</f>
        <v>4832.5</v>
      </c>
    </row>
    <row r="129" spans="1:22" ht="35.5" hidden="1" customHeight="1" x14ac:dyDescent="0.35">
      <c r="A129" s="222" t="str">
        <f t="shared" si="5"/>
        <v>E119</v>
      </c>
      <c r="B129" s="223" t="str">
        <f t="shared" si="4"/>
        <v>FILE</v>
      </c>
      <c r="C129" s="224" t="s">
        <v>56</v>
      </c>
      <c r="D129" s="225" t="s">
        <v>49</v>
      </c>
      <c r="E129" s="226" t="s">
        <v>48</v>
      </c>
      <c r="F129" s="227" t="s">
        <v>271</v>
      </c>
      <c r="G129" s="228">
        <v>44162</v>
      </c>
      <c r="H129" s="229" t="s">
        <v>65</v>
      </c>
      <c r="I129" s="225" t="s">
        <v>255</v>
      </c>
      <c r="J129" s="225" t="s">
        <v>327</v>
      </c>
      <c r="K129" s="230">
        <v>4832.5</v>
      </c>
      <c r="L129" s="228">
        <v>44162</v>
      </c>
      <c r="M129" s="229" t="s">
        <v>44</v>
      </c>
      <c r="N129" s="229"/>
      <c r="O129" s="228"/>
      <c r="P129" s="228">
        <v>44162</v>
      </c>
      <c r="Q12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2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44162</v>
      </c>
      <c r="S12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2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-4832.5</v>
      </c>
      <c r="U129" s="235">
        <f ca="1">IF(OR(Tabela_Movimentacao[[#This Row],[Status]]="Em Aberto",Tabela_Movimentacao[[#This Row],[Status]]="Prorrogado"),Tabela_Movimentacao[[#This Row],[Valor]],0)</f>
        <v>0</v>
      </c>
      <c r="V129" s="219">
        <f ca="1">IF(Tabela_Movimentacao[[#This Row],[Status]]="Cancelado","",IF(Tabela_Movimentacao[[#This Row],[Status]]&lt;&gt;"Pago","",Tabela_Movimentacao[[#This Row],[Valor]]))</f>
        <v>4832.5</v>
      </c>
    </row>
    <row r="130" spans="1:22" ht="35.5" hidden="1" customHeight="1" x14ac:dyDescent="0.35">
      <c r="A130" s="222" t="str">
        <f t="shared" si="5"/>
        <v>E120</v>
      </c>
      <c r="B130" s="223" t="str">
        <f t="shared" si="4"/>
        <v>FILE</v>
      </c>
      <c r="C130" s="224" t="s">
        <v>62</v>
      </c>
      <c r="D130" s="225" t="s">
        <v>104</v>
      </c>
      <c r="E130" s="226" t="s">
        <v>59</v>
      </c>
      <c r="F130" s="227" t="s">
        <v>274</v>
      </c>
      <c r="G130" s="228">
        <v>44165</v>
      </c>
      <c r="H130" s="229" t="s">
        <v>65</v>
      </c>
      <c r="I130" s="225" t="s">
        <v>222</v>
      </c>
      <c r="J130" s="225" t="s">
        <v>327</v>
      </c>
      <c r="K130" s="230">
        <v>312.5</v>
      </c>
      <c r="L130" s="228">
        <v>44165</v>
      </c>
      <c r="M130" s="229" t="s">
        <v>47</v>
      </c>
      <c r="N130" s="229"/>
      <c r="O130" s="228"/>
      <c r="P130" s="228">
        <v>44165</v>
      </c>
      <c r="Q13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44165</v>
      </c>
      <c r="S13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3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312.5</v>
      </c>
      <c r="U130" s="235">
        <f ca="1">IF(OR(Tabela_Movimentacao[[#This Row],[Status]]="Em Aberto",Tabela_Movimentacao[[#This Row],[Status]]="Prorrogado"),Tabela_Movimentacao[[#This Row],[Valor]],0)</f>
        <v>0</v>
      </c>
      <c r="V130" s="219">
        <f ca="1">IF(Tabela_Movimentacao[[#This Row],[Status]]="Cancelado","",IF(Tabela_Movimentacao[[#This Row],[Status]]&lt;&gt;"Pago","",Tabela_Movimentacao[[#This Row],[Valor]]))</f>
        <v>312.5</v>
      </c>
    </row>
    <row r="131" spans="1:22" ht="35.5" hidden="1" customHeight="1" x14ac:dyDescent="0.35">
      <c r="A131" s="222" t="str">
        <f t="shared" si="5"/>
        <v>E121</v>
      </c>
      <c r="B131" s="223" t="str">
        <f t="shared" si="4"/>
        <v>FILE</v>
      </c>
      <c r="C131" s="224" t="s">
        <v>62</v>
      </c>
      <c r="D131" s="225" t="s">
        <v>104</v>
      </c>
      <c r="E131" s="226" t="s">
        <v>59</v>
      </c>
      <c r="F131" s="227" t="s">
        <v>274</v>
      </c>
      <c r="G131" s="228">
        <v>44165</v>
      </c>
      <c r="H131" s="229" t="s">
        <v>63</v>
      </c>
      <c r="I131" s="225" t="s">
        <v>222</v>
      </c>
      <c r="J131" s="225" t="s">
        <v>327</v>
      </c>
      <c r="K131" s="230">
        <v>312.5</v>
      </c>
      <c r="L131" s="228">
        <v>44165</v>
      </c>
      <c r="M131" s="229" t="s">
        <v>47</v>
      </c>
      <c r="N131" s="229"/>
      <c r="O131" s="228"/>
      <c r="P131" s="228">
        <v>44165</v>
      </c>
      <c r="Q13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44165</v>
      </c>
      <c r="S13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3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312.5</v>
      </c>
      <c r="U131" s="235">
        <f ca="1">IF(OR(Tabela_Movimentacao[[#This Row],[Status]]="Em Aberto",Tabela_Movimentacao[[#This Row],[Status]]="Prorrogado"),Tabela_Movimentacao[[#This Row],[Valor]],0)</f>
        <v>0</v>
      </c>
      <c r="V131" s="219">
        <f ca="1">IF(Tabela_Movimentacao[[#This Row],[Status]]="Cancelado","",IF(Tabela_Movimentacao[[#This Row],[Status]]&lt;&gt;"Pago","",Tabela_Movimentacao[[#This Row],[Valor]]))</f>
        <v>312.5</v>
      </c>
    </row>
    <row r="132" spans="1:22" ht="35.5" hidden="1" customHeight="1" x14ac:dyDescent="0.35">
      <c r="A132" s="222" t="str">
        <f t="shared" si="5"/>
        <v>E122</v>
      </c>
      <c r="B132" s="223" t="str">
        <f t="shared" si="4"/>
        <v>FILE</v>
      </c>
      <c r="C132" s="224" t="s">
        <v>62</v>
      </c>
      <c r="D132" s="225" t="s">
        <v>104</v>
      </c>
      <c r="E132" s="226" t="s">
        <v>59</v>
      </c>
      <c r="F132" s="227" t="s">
        <v>275</v>
      </c>
      <c r="G132" s="228">
        <v>44165</v>
      </c>
      <c r="H132" s="229" t="s">
        <v>64</v>
      </c>
      <c r="I132" s="225" t="s">
        <v>222</v>
      </c>
      <c r="J132" s="225" t="s">
        <v>327</v>
      </c>
      <c r="K132" s="230">
        <v>625</v>
      </c>
      <c r="L132" s="228">
        <v>44165</v>
      </c>
      <c r="M132" s="229" t="s">
        <v>47</v>
      </c>
      <c r="N132" s="229"/>
      <c r="O132" s="228"/>
      <c r="P132" s="228">
        <v>44165</v>
      </c>
      <c r="Q13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44165</v>
      </c>
      <c r="S13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44136</v>
      </c>
      <c r="T13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625</v>
      </c>
      <c r="U132" s="235">
        <f ca="1">IF(OR(Tabela_Movimentacao[[#This Row],[Status]]="Em Aberto",Tabela_Movimentacao[[#This Row],[Status]]="Prorrogado"),Tabela_Movimentacao[[#This Row],[Valor]],0)</f>
        <v>0</v>
      </c>
      <c r="V132" s="219">
        <f ca="1">IF(Tabela_Movimentacao[[#This Row],[Status]]="Cancelado","",IF(Tabela_Movimentacao[[#This Row],[Status]]&lt;&gt;"Pago","",Tabela_Movimentacao[[#This Row],[Valor]]))</f>
        <v>625</v>
      </c>
    </row>
    <row r="133" spans="1:22" ht="35.5" hidden="1" customHeight="1" x14ac:dyDescent="0.35">
      <c r="A133" s="222" t="str">
        <f t="shared" si="5"/>
        <v>E123</v>
      </c>
      <c r="B133" s="223" t="str">
        <f t="shared" si="4"/>
        <v>FILE</v>
      </c>
      <c r="C133" s="224" t="s">
        <v>56</v>
      </c>
      <c r="D133" s="225" t="s">
        <v>34</v>
      </c>
      <c r="E133" s="226" t="s">
        <v>15</v>
      </c>
      <c r="F133" s="227" t="s">
        <v>276</v>
      </c>
      <c r="G133" s="228">
        <v>44165</v>
      </c>
      <c r="H133" s="229" t="s">
        <v>222</v>
      </c>
      <c r="I133" s="225" t="s">
        <v>232</v>
      </c>
      <c r="J133" s="225" t="s">
        <v>327</v>
      </c>
      <c r="K133" s="230">
        <v>296.73</v>
      </c>
      <c r="L133" s="228">
        <v>44180</v>
      </c>
      <c r="M133" s="229" t="s">
        <v>105</v>
      </c>
      <c r="N133" s="229"/>
      <c r="O133" s="228"/>
      <c r="P133" s="228">
        <v>44172</v>
      </c>
      <c r="Q13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3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-296.73</v>
      </c>
      <c r="U133" s="235">
        <f ca="1">IF(OR(Tabela_Movimentacao[[#This Row],[Status]]="Em Aberto",Tabela_Movimentacao[[#This Row],[Status]]="Prorrogado"),Tabela_Movimentacao[[#This Row],[Valor]],0)</f>
        <v>0</v>
      </c>
      <c r="V133" s="219">
        <f ca="1">IF(Tabela_Movimentacao[[#This Row],[Status]]="Cancelado","",IF(Tabela_Movimentacao[[#This Row],[Status]]&lt;&gt;"Pago","",Tabela_Movimentacao[[#This Row],[Valor]]))</f>
        <v>296.73</v>
      </c>
    </row>
    <row r="134" spans="1:22" ht="35.5" hidden="1" customHeight="1" x14ac:dyDescent="0.35">
      <c r="A134" s="222" t="str">
        <f t="shared" si="5"/>
        <v>E124</v>
      </c>
      <c r="B134" s="223" t="str">
        <f t="shared" si="4"/>
        <v>FILE</v>
      </c>
      <c r="C134" s="224" t="s">
        <v>56</v>
      </c>
      <c r="D134" s="225" t="s">
        <v>13</v>
      </c>
      <c r="E134" s="226" t="s">
        <v>30</v>
      </c>
      <c r="F134" s="227" t="s">
        <v>277</v>
      </c>
      <c r="G134" s="228">
        <v>44165</v>
      </c>
      <c r="H134" s="229" t="s">
        <v>65</v>
      </c>
      <c r="I134" s="225" t="s">
        <v>216</v>
      </c>
      <c r="J134" s="225" t="s">
        <v>327</v>
      </c>
      <c r="K134" s="230">
        <v>347</v>
      </c>
      <c r="L134" s="228">
        <v>44167</v>
      </c>
      <c r="M134" s="229" t="s">
        <v>105</v>
      </c>
      <c r="N134" s="229"/>
      <c r="O134" s="228"/>
      <c r="P134" s="228">
        <v>44168</v>
      </c>
      <c r="Q13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3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-347</v>
      </c>
      <c r="U134" s="235">
        <f ca="1">IF(OR(Tabela_Movimentacao[[#This Row],[Status]]="Em Aberto",Tabela_Movimentacao[[#This Row],[Status]]="Prorrogado"),Tabela_Movimentacao[[#This Row],[Valor]],0)</f>
        <v>0</v>
      </c>
      <c r="V134" s="219">
        <f ca="1">IF(Tabela_Movimentacao[[#This Row],[Status]]="Cancelado","",IF(Tabela_Movimentacao[[#This Row],[Status]]&lt;&gt;"Pago","",Tabela_Movimentacao[[#This Row],[Valor]]))</f>
        <v>347</v>
      </c>
    </row>
    <row r="135" spans="1:22" ht="35.5" hidden="1" customHeight="1" x14ac:dyDescent="0.35">
      <c r="A135" s="222" t="str">
        <f t="shared" si="5"/>
        <v>E125</v>
      </c>
      <c r="B135" s="223" t="str">
        <f t="shared" si="4"/>
        <v>FILE</v>
      </c>
      <c r="C135" s="224" t="s">
        <v>62</v>
      </c>
      <c r="D135" s="225" t="s">
        <v>104</v>
      </c>
      <c r="E135" s="226" t="s">
        <v>59</v>
      </c>
      <c r="F135" s="227" t="s">
        <v>278</v>
      </c>
      <c r="G135" s="228">
        <v>44166</v>
      </c>
      <c r="H135" s="229" t="s">
        <v>64</v>
      </c>
      <c r="I135" s="225" t="s">
        <v>222</v>
      </c>
      <c r="J135" s="225" t="s">
        <v>327</v>
      </c>
      <c r="K135" s="230">
        <v>2033</v>
      </c>
      <c r="L135" s="228">
        <v>44166</v>
      </c>
      <c r="M135" s="229" t="s">
        <v>44</v>
      </c>
      <c r="N135" s="229"/>
      <c r="O135" s="228"/>
      <c r="P135" s="228">
        <v>44166</v>
      </c>
      <c r="Q13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44166</v>
      </c>
      <c r="S13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2033</v>
      </c>
      <c r="U135" s="235">
        <f ca="1">IF(OR(Tabela_Movimentacao[[#This Row],[Status]]="Em Aberto",Tabela_Movimentacao[[#This Row],[Status]]="Prorrogado"),Tabela_Movimentacao[[#This Row],[Valor]],0)</f>
        <v>0</v>
      </c>
      <c r="V135" s="219">
        <f ca="1">IF(Tabela_Movimentacao[[#This Row],[Status]]="Cancelado","",IF(Tabela_Movimentacao[[#This Row],[Status]]&lt;&gt;"Pago","",Tabela_Movimentacao[[#This Row],[Valor]]))</f>
        <v>2033</v>
      </c>
    </row>
    <row r="136" spans="1:22" ht="35.5" hidden="1" customHeight="1" x14ac:dyDescent="0.35">
      <c r="A136" s="222" t="str">
        <f t="shared" si="5"/>
        <v>E126</v>
      </c>
      <c r="B136" s="223" t="str">
        <f t="shared" si="4"/>
        <v>FILE</v>
      </c>
      <c r="C136" s="224" t="s">
        <v>56</v>
      </c>
      <c r="D136" s="225" t="s">
        <v>49</v>
      </c>
      <c r="E136" s="226" t="s">
        <v>50</v>
      </c>
      <c r="F136" s="227" t="s">
        <v>278</v>
      </c>
      <c r="G136" s="228">
        <v>44166</v>
      </c>
      <c r="H136" s="229" t="s">
        <v>64</v>
      </c>
      <c r="I136" s="225" t="s">
        <v>254</v>
      </c>
      <c r="J136" s="225" t="s">
        <v>327</v>
      </c>
      <c r="K136" s="230">
        <v>2033</v>
      </c>
      <c r="L136" s="228">
        <v>44166</v>
      </c>
      <c r="M136" s="229" t="s">
        <v>44</v>
      </c>
      <c r="N136" s="229"/>
      <c r="O136" s="228"/>
      <c r="P136" s="228">
        <v>44166</v>
      </c>
      <c r="Q13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44166</v>
      </c>
      <c r="S13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-2033</v>
      </c>
      <c r="U136" s="235">
        <f ca="1">IF(OR(Tabela_Movimentacao[[#This Row],[Status]]="Em Aberto",Tabela_Movimentacao[[#This Row],[Status]]="Prorrogado"),Tabela_Movimentacao[[#This Row],[Valor]],0)</f>
        <v>0</v>
      </c>
      <c r="V136" s="219">
        <f ca="1">IF(Tabela_Movimentacao[[#This Row],[Status]]="Cancelado","",IF(Tabela_Movimentacao[[#This Row],[Status]]&lt;&gt;"Pago","",Tabela_Movimentacao[[#This Row],[Valor]]))</f>
        <v>2033</v>
      </c>
    </row>
    <row r="137" spans="1:22" ht="35.5" hidden="1" customHeight="1" x14ac:dyDescent="0.35">
      <c r="A137" s="222" t="str">
        <f t="shared" si="5"/>
        <v>E127</v>
      </c>
      <c r="B137" s="223" t="str">
        <f t="shared" si="4"/>
        <v>FILE</v>
      </c>
      <c r="C137" s="224" t="s">
        <v>62</v>
      </c>
      <c r="D137" s="225" t="s">
        <v>104</v>
      </c>
      <c r="E137" s="226" t="s">
        <v>59</v>
      </c>
      <c r="F137" s="227" t="s">
        <v>328</v>
      </c>
      <c r="G137" s="228">
        <v>44167</v>
      </c>
      <c r="H137" s="229" t="s">
        <v>64</v>
      </c>
      <c r="I137" s="225" t="s">
        <v>222</v>
      </c>
      <c r="J137" s="225" t="s">
        <v>327</v>
      </c>
      <c r="K137" s="230">
        <v>1000</v>
      </c>
      <c r="L137" s="228">
        <v>44167</v>
      </c>
      <c r="M137" s="229" t="s">
        <v>44</v>
      </c>
      <c r="N137" s="229"/>
      <c r="O137" s="228"/>
      <c r="P137" s="228">
        <v>44167</v>
      </c>
      <c r="Q13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3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</v>
      </c>
      <c r="U137" s="235">
        <f ca="1">IF(OR(Tabela_Movimentacao[[#This Row],[Status]]="Em Aberto",Tabela_Movimentacao[[#This Row],[Status]]="Prorrogado"),Tabela_Movimentacao[[#This Row],[Valor]],0)</f>
        <v>0</v>
      </c>
      <c r="V137" s="219">
        <f ca="1">IF(Tabela_Movimentacao[[#This Row],[Status]]="Cancelado","",IF(Tabela_Movimentacao[[#This Row],[Status]]&lt;&gt;"Pago","",Tabela_Movimentacao[[#This Row],[Valor]]))</f>
        <v>1000</v>
      </c>
    </row>
    <row r="138" spans="1:22" ht="35.5" hidden="1" customHeight="1" x14ac:dyDescent="0.35">
      <c r="A138" s="222" t="str">
        <f t="shared" si="5"/>
        <v>E128</v>
      </c>
      <c r="B138" s="223" t="str">
        <f t="shared" si="4"/>
        <v>FILE</v>
      </c>
      <c r="C138" s="224" t="s">
        <v>56</v>
      </c>
      <c r="D138" s="225" t="s">
        <v>49</v>
      </c>
      <c r="E138" s="226" t="s">
        <v>48</v>
      </c>
      <c r="F138" s="227" t="s">
        <v>328</v>
      </c>
      <c r="G138" s="228">
        <v>44167</v>
      </c>
      <c r="H138" s="229" t="s">
        <v>64</v>
      </c>
      <c r="I138" s="225" t="s">
        <v>255</v>
      </c>
      <c r="J138" s="225" t="s">
        <v>327</v>
      </c>
      <c r="K138" s="230">
        <v>1000</v>
      </c>
      <c r="L138" s="228">
        <v>44167</v>
      </c>
      <c r="M138" s="229" t="s">
        <v>44</v>
      </c>
      <c r="N138" s="229"/>
      <c r="O138" s="228"/>
      <c r="P138" s="228">
        <v>44167</v>
      </c>
      <c r="Q13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3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</v>
      </c>
      <c r="U138" s="235">
        <f ca="1">IF(OR(Tabela_Movimentacao[[#This Row],[Status]]="Em Aberto",Tabela_Movimentacao[[#This Row],[Status]]="Prorrogado"),Tabela_Movimentacao[[#This Row],[Valor]],0)</f>
        <v>0</v>
      </c>
      <c r="V138" s="219">
        <f ca="1">IF(Tabela_Movimentacao[[#This Row],[Status]]="Cancelado","",IF(Tabela_Movimentacao[[#This Row],[Status]]&lt;&gt;"Pago","",Tabela_Movimentacao[[#This Row],[Valor]]))</f>
        <v>1000</v>
      </c>
    </row>
    <row r="139" spans="1:22" ht="35.5" hidden="1" customHeight="1" x14ac:dyDescent="0.35">
      <c r="A139" s="222" t="str">
        <f t="shared" ref="A139:A170" si="6">"E"&amp;ROW()-10</f>
        <v>E129</v>
      </c>
      <c r="B139" s="223" t="str">
        <f t="shared" ref="B139:B202" si="7">"FILE"</f>
        <v>FILE</v>
      </c>
      <c r="C139" s="224" t="s">
        <v>62</v>
      </c>
      <c r="D139" s="225" t="s">
        <v>104</v>
      </c>
      <c r="E139" s="226" t="s">
        <v>59</v>
      </c>
      <c r="F139" s="227" t="s">
        <v>282</v>
      </c>
      <c r="G139" s="228">
        <v>44167</v>
      </c>
      <c r="H139" s="229" t="s">
        <v>65</v>
      </c>
      <c r="I139" s="225" t="s">
        <v>222</v>
      </c>
      <c r="J139" s="225" t="s">
        <v>327</v>
      </c>
      <c r="K139" s="230">
        <v>1700</v>
      </c>
      <c r="L139" s="228">
        <v>44167</v>
      </c>
      <c r="M139" s="229" t="s">
        <v>44</v>
      </c>
      <c r="N139" s="229"/>
      <c r="O139" s="228"/>
      <c r="P139" s="228">
        <v>44167</v>
      </c>
      <c r="Q13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3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3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3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1700</v>
      </c>
      <c r="U139" s="235">
        <f ca="1">IF(OR(Tabela_Movimentacao[[#This Row],[Status]]="Em Aberto",Tabela_Movimentacao[[#This Row],[Status]]="Prorrogado"),Tabela_Movimentacao[[#This Row],[Valor]],0)</f>
        <v>0</v>
      </c>
      <c r="V139" s="219">
        <f ca="1">IF(Tabela_Movimentacao[[#This Row],[Status]]="Cancelado","",IF(Tabela_Movimentacao[[#This Row],[Status]]&lt;&gt;"Pago","",Tabela_Movimentacao[[#This Row],[Valor]]))</f>
        <v>1700</v>
      </c>
    </row>
    <row r="140" spans="1:22" ht="35.5" hidden="1" customHeight="1" x14ac:dyDescent="0.35">
      <c r="A140" s="222" t="str">
        <f t="shared" si="6"/>
        <v>E130</v>
      </c>
      <c r="B140" s="223" t="str">
        <f t="shared" si="7"/>
        <v>FILE</v>
      </c>
      <c r="C140" s="224" t="s">
        <v>56</v>
      </c>
      <c r="D140" s="225" t="s">
        <v>49</v>
      </c>
      <c r="E140" s="226" t="s">
        <v>48</v>
      </c>
      <c r="F140" s="227" t="s">
        <v>282</v>
      </c>
      <c r="G140" s="228">
        <v>44167</v>
      </c>
      <c r="H140" s="229" t="s">
        <v>65</v>
      </c>
      <c r="I140" s="225" t="s">
        <v>252</v>
      </c>
      <c r="J140" s="225" t="s">
        <v>327</v>
      </c>
      <c r="K140" s="230">
        <v>1700</v>
      </c>
      <c r="L140" s="228">
        <v>44167</v>
      </c>
      <c r="M140" s="229" t="s">
        <v>44</v>
      </c>
      <c r="N140" s="229"/>
      <c r="O140" s="228"/>
      <c r="P140" s="228">
        <v>44167</v>
      </c>
      <c r="Q14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-1700</v>
      </c>
      <c r="U140" s="235">
        <f ca="1">IF(OR(Tabela_Movimentacao[[#This Row],[Status]]="Em Aberto",Tabela_Movimentacao[[#This Row],[Status]]="Prorrogado"),Tabela_Movimentacao[[#This Row],[Valor]],0)</f>
        <v>0</v>
      </c>
      <c r="V140" s="219">
        <f ca="1">IF(Tabela_Movimentacao[[#This Row],[Status]]="Cancelado","",IF(Tabela_Movimentacao[[#This Row],[Status]]&lt;&gt;"Pago","",Tabela_Movimentacao[[#This Row],[Valor]]))</f>
        <v>1700</v>
      </c>
    </row>
    <row r="141" spans="1:22" ht="35.5" hidden="1" customHeight="1" x14ac:dyDescent="0.35">
      <c r="A141" s="222" t="str">
        <f t="shared" si="6"/>
        <v>E131</v>
      </c>
      <c r="B141" s="223" t="str">
        <f t="shared" si="7"/>
        <v>FILE</v>
      </c>
      <c r="C141" s="224" t="s">
        <v>62</v>
      </c>
      <c r="D141" s="225" t="s">
        <v>104</v>
      </c>
      <c r="E141" s="226" t="s">
        <v>59</v>
      </c>
      <c r="F141" s="227" t="s">
        <v>280</v>
      </c>
      <c r="G141" s="228">
        <v>44167</v>
      </c>
      <c r="H141" s="229" t="s">
        <v>64</v>
      </c>
      <c r="I141" s="225" t="s">
        <v>222</v>
      </c>
      <c r="J141" s="225" t="s">
        <v>327</v>
      </c>
      <c r="K141" s="230">
        <v>576</v>
      </c>
      <c r="L141" s="228">
        <v>44167</v>
      </c>
      <c r="M141" s="229" t="s">
        <v>44</v>
      </c>
      <c r="N141" s="229"/>
      <c r="O141" s="228"/>
      <c r="P141" s="228">
        <v>44167</v>
      </c>
      <c r="Q14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576</v>
      </c>
      <c r="U141" s="235">
        <f ca="1">IF(OR(Tabela_Movimentacao[[#This Row],[Status]]="Em Aberto",Tabela_Movimentacao[[#This Row],[Status]]="Prorrogado"),Tabela_Movimentacao[[#This Row],[Valor]],0)</f>
        <v>0</v>
      </c>
      <c r="V141" s="219">
        <f ca="1">IF(Tabela_Movimentacao[[#This Row],[Status]]="Cancelado","",IF(Tabela_Movimentacao[[#This Row],[Status]]&lt;&gt;"Pago","",Tabela_Movimentacao[[#This Row],[Valor]]))</f>
        <v>576</v>
      </c>
    </row>
    <row r="142" spans="1:22" ht="35.5" hidden="1" customHeight="1" x14ac:dyDescent="0.35">
      <c r="A142" s="222" t="str">
        <f t="shared" si="6"/>
        <v>E132</v>
      </c>
      <c r="B142" s="223" t="str">
        <f t="shared" si="7"/>
        <v>FILE</v>
      </c>
      <c r="C142" s="224" t="s">
        <v>56</v>
      </c>
      <c r="D142" s="225" t="s">
        <v>49</v>
      </c>
      <c r="E142" s="226" t="s">
        <v>48</v>
      </c>
      <c r="F142" s="227" t="s">
        <v>280</v>
      </c>
      <c r="G142" s="228">
        <v>44167</v>
      </c>
      <c r="H142" s="229" t="s">
        <v>64</v>
      </c>
      <c r="I142" s="225" t="s">
        <v>279</v>
      </c>
      <c r="J142" s="225" t="s">
        <v>327</v>
      </c>
      <c r="K142" s="230">
        <v>576</v>
      </c>
      <c r="L142" s="228">
        <v>44167</v>
      </c>
      <c r="M142" s="229" t="s">
        <v>44</v>
      </c>
      <c r="N142" s="229"/>
      <c r="O142" s="228"/>
      <c r="P142" s="228">
        <v>44167</v>
      </c>
      <c r="Q14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-576</v>
      </c>
      <c r="U142" s="235">
        <f ca="1">IF(OR(Tabela_Movimentacao[[#This Row],[Status]]="Em Aberto",Tabela_Movimentacao[[#This Row],[Status]]="Prorrogado"),Tabela_Movimentacao[[#This Row],[Valor]],0)</f>
        <v>0</v>
      </c>
      <c r="V142" s="219">
        <f ca="1">IF(Tabela_Movimentacao[[#This Row],[Status]]="Cancelado","",IF(Tabela_Movimentacao[[#This Row],[Status]]&lt;&gt;"Pago","",Tabela_Movimentacao[[#This Row],[Valor]]))</f>
        <v>576</v>
      </c>
    </row>
    <row r="143" spans="1:22" ht="35.5" hidden="1" customHeight="1" x14ac:dyDescent="0.35">
      <c r="A143" s="222" t="str">
        <f t="shared" si="6"/>
        <v>E133</v>
      </c>
      <c r="B143" s="223" t="str">
        <f t="shared" si="7"/>
        <v>FILE</v>
      </c>
      <c r="C143" s="224" t="s">
        <v>62</v>
      </c>
      <c r="D143" s="225" t="s">
        <v>104</v>
      </c>
      <c r="E143" s="226" t="s">
        <v>59</v>
      </c>
      <c r="F143" s="227" t="s">
        <v>281</v>
      </c>
      <c r="G143" s="228">
        <v>44167</v>
      </c>
      <c r="H143" s="229" t="s">
        <v>64</v>
      </c>
      <c r="I143" s="225" t="s">
        <v>222</v>
      </c>
      <c r="J143" s="225" t="s">
        <v>327</v>
      </c>
      <c r="K143" s="230">
        <v>66</v>
      </c>
      <c r="L143" s="228">
        <v>44167</v>
      </c>
      <c r="M143" s="229" t="s">
        <v>44</v>
      </c>
      <c r="N143" s="229"/>
      <c r="O143" s="228"/>
      <c r="P143" s="228">
        <v>44167</v>
      </c>
      <c r="Q14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66</v>
      </c>
      <c r="U143" s="235">
        <f ca="1">IF(OR(Tabela_Movimentacao[[#This Row],[Status]]="Em Aberto",Tabela_Movimentacao[[#This Row],[Status]]="Prorrogado"),Tabela_Movimentacao[[#This Row],[Valor]],0)</f>
        <v>0</v>
      </c>
      <c r="V143" s="219">
        <f ca="1">IF(Tabela_Movimentacao[[#This Row],[Status]]="Cancelado","",IF(Tabela_Movimentacao[[#This Row],[Status]]&lt;&gt;"Pago","",Tabela_Movimentacao[[#This Row],[Valor]]))</f>
        <v>66</v>
      </c>
    </row>
    <row r="144" spans="1:22" ht="35.5" hidden="1" customHeight="1" x14ac:dyDescent="0.35">
      <c r="A144" s="222" t="str">
        <f t="shared" si="6"/>
        <v>E134</v>
      </c>
      <c r="B144" s="223" t="str">
        <f t="shared" si="7"/>
        <v>FILE</v>
      </c>
      <c r="C144" s="224" t="s">
        <v>56</v>
      </c>
      <c r="D144" s="225" t="s">
        <v>49</v>
      </c>
      <c r="E144" s="226" t="s">
        <v>48</v>
      </c>
      <c r="F144" s="227" t="s">
        <v>281</v>
      </c>
      <c r="G144" s="228">
        <v>44167</v>
      </c>
      <c r="H144" s="229" t="s">
        <v>64</v>
      </c>
      <c r="I144" s="225" t="s">
        <v>254</v>
      </c>
      <c r="J144" s="225" t="s">
        <v>327</v>
      </c>
      <c r="K144" s="230">
        <v>66</v>
      </c>
      <c r="L144" s="228">
        <v>44167</v>
      </c>
      <c r="M144" s="229" t="s">
        <v>44</v>
      </c>
      <c r="N144" s="229"/>
      <c r="O144" s="228"/>
      <c r="P144" s="228">
        <v>44167</v>
      </c>
      <c r="Q14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-66</v>
      </c>
      <c r="U144" s="235">
        <f ca="1">IF(OR(Tabela_Movimentacao[[#This Row],[Status]]="Em Aberto",Tabela_Movimentacao[[#This Row],[Status]]="Prorrogado"),Tabela_Movimentacao[[#This Row],[Valor]],0)</f>
        <v>0</v>
      </c>
      <c r="V144" s="219">
        <f ca="1">IF(Tabela_Movimentacao[[#This Row],[Status]]="Cancelado","",IF(Tabela_Movimentacao[[#This Row],[Status]]&lt;&gt;"Pago","",Tabela_Movimentacao[[#This Row],[Valor]]))</f>
        <v>66</v>
      </c>
    </row>
    <row r="145" spans="1:22" ht="35.5" hidden="1" customHeight="1" x14ac:dyDescent="0.35">
      <c r="A145" s="222" t="str">
        <f t="shared" si="6"/>
        <v>E135</v>
      </c>
      <c r="B145" s="223" t="str">
        <f t="shared" si="7"/>
        <v>FILE</v>
      </c>
      <c r="C145" s="224" t="s">
        <v>62</v>
      </c>
      <c r="D145" s="225" t="s">
        <v>104</v>
      </c>
      <c r="E145" s="226" t="s">
        <v>59</v>
      </c>
      <c r="F145" s="227" t="s">
        <v>284</v>
      </c>
      <c r="G145" s="228">
        <v>44167</v>
      </c>
      <c r="H145" s="229" t="s">
        <v>65</v>
      </c>
      <c r="I145" s="225" t="s">
        <v>222</v>
      </c>
      <c r="J145" s="225" t="s">
        <v>327</v>
      </c>
      <c r="K145" s="230">
        <v>225</v>
      </c>
      <c r="L145" s="228">
        <v>44167</v>
      </c>
      <c r="M145" s="229" t="s">
        <v>44</v>
      </c>
      <c r="N145" s="229"/>
      <c r="O145" s="228"/>
      <c r="P145" s="228">
        <v>44167</v>
      </c>
      <c r="Q14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225</v>
      </c>
      <c r="U145" s="235">
        <f ca="1">IF(OR(Tabela_Movimentacao[[#This Row],[Status]]="Em Aberto",Tabela_Movimentacao[[#This Row],[Status]]="Prorrogado"),Tabela_Movimentacao[[#This Row],[Valor]],0)</f>
        <v>0</v>
      </c>
      <c r="V145" s="219">
        <f ca="1">IF(Tabela_Movimentacao[[#This Row],[Status]]="Cancelado","",IF(Tabela_Movimentacao[[#This Row],[Status]]&lt;&gt;"Pago","",Tabela_Movimentacao[[#This Row],[Valor]]))</f>
        <v>225</v>
      </c>
    </row>
    <row r="146" spans="1:22" ht="35.5" hidden="1" customHeight="1" x14ac:dyDescent="0.35">
      <c r="A146" s="222" t="str">
        <f t="shared" si="6"/>
        <v>E136</v>
      </c>
      <c r="B146" s="223" t="str">
        <f t="shared" si="7"/>
        <v>FILE</v>
      </c>
      <c r="C146" s="224" t="s">
        <v>56</v>
      </c>
      <c r="D146" s="225" t="s">
        <v>49</v>
      </c>
      <c r="E146" s="226" t="s">
        <v>48</v>
      </c>
      <c r="F146" s="227" t="s">
        <v>284</v>
      </c>
      <c r="G146" s="228">
        <v>44167</v>
      </c>
      <c r="H146" s="229" t="s">
        <v>65</v>
      </c>
      <c r="I146" s="225" t="s">
        <v>283</v>
      </c>
      <c r="J146" s="225" t="s">
        <v>327</v>
      </c>
      <c r="K146" s="230">
        <v>225</v>
      </c>
      <c r="L146" s="228">
        <v>44167</v>
      </c>
      <c r="M146" s="229" t="s">
        <v>44</v>
      </c>
      <c r="N146" s="229"/>
      <c r="O146" s="228"/>
      <c r="P146" s="228">
        <v>44167</v>
      </c>
      <c r="Q14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44167</v>
      </c>
      <c r="S14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-225</v>
      </c>
      <c r="U146" s="235">
        <f ca="1">IF(OR(Tabela_Movimentacao[[#This Row],[Status]]="Em Aberto",Tabela_Movimentacao[[#This Row],[Status]]="Prorrogado"),Tabela_Movimentacao[[#This Row],[Valor]],0)</f>
        <v>0</v>
      </c>
      <c r="V146" s="219">
        <f ca="1">IF(Tabela_Movimentacao[[#This Row],[Status]]="Cancelado","",IF(Tabela_Movimentacao[[#This Row],[Status]]&lt;&gt;"Pago","",Tabela_Movimentacao[[#This Row],[Valor]]))</f>
        <v>225</v>
      </c>
    </row>
    <row r="147" spans="1:22" ht="35.5" hidden="1" customHeight="1" x14ac:dyDescent="0.35">
      <c r="A147" s="222" t="str">
        <f t="shared" si="6"/>
        <v>E137</v>
      </c>
      <c r="B147" s="223" t="str">
        <f t="shared" si="7"/>
        <v>FILE</v>
      </c>
      <c r="C147" s="224" t="s">
        <v>62</v>
      </c>
      <c r="D147" s="225" t="s">
        <v>104</v>
      </c>
      <c r="E147" s="226" t="s">
        <v>59</v>
      </c>
      <c r="F147" s="227" t="s">
        <v>285</v>
      </c>
      <c r="G147" s="228">
        <v>44168</v>
      </c>
      <c r="H147" s="229" t="s">
        <v>64</v>
      </c>
      <c r="I147" s="225" t="s">
        <v>222</v>
      </c>
      <c r="J147" s="225" t="s">
        <v>327</v>
      </c>
      <c r="K147" s="230">
        <v>1500</v>
      </c>
      <c r="L147" s="228">
        <v>44168</v>
      </c>
      <c r="M147" s="229" t="s">
        <v>47</v>
      </c>
      <c r="N147" s="229"/>
      <c r="O147" s="228"/>
      <c r="P147" s="228">
        <v>44168</v>
      </c>
      <c r="Q14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44168</v>
      </c>
      <c r="S14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1500</v>
      </c>
      <c r="U147" s="235">
        <f ca="1">IF(OR(Tabela_Movimentacao[[#This Row],[Status]]="Em Aberto",Tabela_Movimentacao[[#This Row],[Status]]="Prorrogado"),Tabela_Movimentacao[[#This Row],[Valor]],0)</f>
        <v>0</v>
      </c>
      <c r="V147" s="219">
        <f ca="1">IF(Tabela_Movimentacao[[#This Row],[Status]]="Cancelado","",IF(Tabela_Movimentacao[[#This Row],[Status]]&lt;&gt;"Pago","",Tabela_Movimentacao[[#This Row],[Valor]]))</f>
        <v>1500</v>
      </c>
    </row>
    <row r="148" spans="1:22" ht="35.5" hidden="1" customHeight="1" x14ac:dyDescent="0.35">
      <c r="A148" s="222" t="str">
        <f t="shared" si="6"/>
        <v>E138</v>
      </c>
      <c r="B148" s="223" t="str">
        <f t="shared" si="7"/>
        <v>FILE</v>
      </c>
      <c r="C148" s="224" t="s">
        <v>62</v>
      </c>
      <c r="D148" s="225" t="s">
        <v>104</v>
      </c>
      <c r="E148" s="226" t="s">
        <v>59</v>
      </c>
      <c r="F148" s="227" t="s">
        <v>277</v>
      </c>
      <c r="G148" s="228">
        <v>44168</v>
      </c>
      <c r="H148" s="229" t="s">
        <v>65</v>
      </c>
      <c r="I148" s="225" t="s">
        <v>222</v>
      </c>
      <c r="J148" s="225" t="s">
        <v>327</v>
      </c>
      <c r="K148" s="230">
        <v>347</v>
      </c>
      <c r="L148" s="228">
        <v>44168</v>
      </c>
      <c r="M148" s="229" t="s">
        <v>105</v>
      </c>
      <c r="N148" s="229"/>
      <c r="O148" s="228"/>
      <c r="P148" s="228">
        <v>44168</v>
      </c>
      <c r="Q14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44168</v>
      </c>
      <c r="S14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347</v>
      </c>
      <c r="U148" s="235">
        <f ca="1">IF(OR(Tabela_Movimentacao[[#This Row],[Status]]="Em Aberto",Tabela_Movimentacao[[#This Row],[Status]]="Prorrogado"),Tabela_Movimentacao[[#This Row],[Valor]],0)</f>
        <v>0</v>
      </c>
      <c r="V148" s="219">
        <f ca="1">IF(Tabela_Movimentacao[[#This Row],[Status]]="Cancelado","",IF(Tabela_Movimentacao[[#This Row],[Status]]&lt;&gt;"Pago","",Tabela_Movimentacao[[#This Row],[Valor]]))</f>
        <v>347</v>
      </c>
    </row>
    <row r="149" spans="1:22" ht="35.5" hidden="1" customHeight="1" x14ac:dyDescent="0.35">
      <c r="A149" s="222" t="str">
        <f t="shared" si="6"/>
        <v>E139</v>
      </c>
      <c r="B149" s="223" t="str">
        <f t="shared" si="7"/>
        <v>FILE</v>
      </c>
      <c r="C149" s="224" t="s">
        <v>56</v>
      </c>
      <c r="D149" s="225" t="s">
        <v>49</v>
      </c>
      <c r="E149" s="226" t="s">
        <v>48</v>
      </c>
      <c r="F149" s="227" t="s">
        <v>288</v>
      </c>
      <c r="G149" s="228">
        <v>44169</v>
      </c>
      <c r="H149" s="229" t="s">
        <v>222</v>
      </c>
      <c r="I149" s="225" t="s">
        <v>329</v>
      </c>
      <c r="J149" s="225" t="s">
        <v>327</v>
      </c>
      <c r="K149" s="230">
        <v>2462.409999999998</v>
      </c>
      <c r="L149" s="228">
        <v>44169</v>
      </c>
      <c r="M149" s="229" t="s">
        <v>47</v>
      </c>
      <c r="N149" s="229"/>
      <c r="O149" s="228"/>
      <c r="P149" s="228">
        <v>44169</v>
      </c>
      <c r="Q14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4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4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4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-2462.409999999998</v>
      </c>
      <c r="U149" s="235">
        <f ca="1">IF(OR(Tabela_Movimentacao[[#This Row],[Status]]="Em Aberto",Tabela_Movimentacao[[#This Row],[Status]]="Prorrogado"),Tabela_Movimentacao[[#This Row],[Valor]],0)</f>
        <v>0</v>
      </c>
      <c r="V149" s="219">
        <f ca="1">IF(Tabela_Movimentacao[[#This Row],[Status]]="Cancelado","",IF(Tabela_Movimentacao[[#This Row],[Status]]&lt;&gt;"Pago","",Tabela_Movimentacao[[#This Row],[Valor]]))</f>
        <v>2462.409999999998</v>
      </c>
    </row>
    <row r="150" spans="1:22" ht="35.5" hidden="1" customHeight="1" x14ac:dyDescent="0.35">
      <c r="A150" s="222" t="str">
        <f t="shared" si="6"/>
        <v>E140</v>
      </c>
      <c r="B150" s="223" t="str">
        <f t="shared" si="7"/>
        <v>FILE</v>
      </c>
      <c r="C150" s="224" t="s">
        <v>62</v>
      </c>
      <c r="D150" s="225" t="s">
        <v>104</v>
      </c>
      <c r="E150" s="226" t="s">
        <v>59</v>
      </c>
      <c r="F150" s="227" t="s">
        <v>287</v>
      </c>
      <c r="G150" s="228">
        <v>44169</v>
      </c>
      <c r="H150" s="229" t="s">
        <v>63</v>
      </c>
      <c r="I150" s="225" t="s">
        <v>222</v>
      </c>
      <c r="J150" s="225" t="s">
        <v>327</v>
      </c>
      <c r="K150" s="230">
        <v>5633.58</v>
      </c>
      <c r="L150" s="228">
        <v>44169</v>
      </c>
      <c r="M150" s="229" t="s">
        <v>47</v>
      </c>
      <c r="N150" s="229"/>
      <c r="O150" s="228"/>
      <c r="P150" s="228">
        <v>44169</v>
      </c>
      <c r="Q15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5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5633.58</v>
      </c>
      <c r="U150" s="235">
        <f ca="1">IF(OR(Tabela_Movimentacao[[#This Row],[Status]]="Em Aberto",Tabela_Movimentacao[[#This Row],[Status]]="Prorrogado"),Tabela_Movimentacao[[#This Row],[Valor]],0)</f>
        <v>0</v>
      </c>
      <c r="V150" s="219">
        <f ca="1">IF(Tabela_Movimentacao[[#This Row],[Status]]="Cancelado","",IF(Tabela_Movimentacao[[#This Row],[Status]]&lt;&gt;"Pago","",Tabela_Movimentacao[[#This Row],[Valor]]))</f>
        <v>5633.58</v>
      </c>
    </row>
    <row r="151" spans="1:22" ht="35.5" hidden="1" customHeight="1" x14ac:dyDescent="0.35">
      <c r="A151" s="222" t="str">
        <f t="shared" si="6"/>
        <v>E141</v>
      </c>
      <c r="B151" s="223" t="str">
        <f t="shared" si="7"/>
        <v>FILE</v>
      </c>
      <c r="C151" s="224" t="s">
        <v>56</v>
      </c>
      <c r="D151" s="225" t="s">
        <v>49</v>
      </c>
      <c r="E151" s="226" t="s">
        <v>48</v>
      </c>
      <c r="F151" s="227" t="s">
        <v>287</v>
      </c>
      <c r="G151" s="228">
        <v>44169</v>
      </c>
      <c r="H151" s="229" t="s">
        <v>63</v>
      </c>
      <c r="I151" s="225" t="s">
        <v>329</v>
      </c>
      <c r="J151" s="225" t="s">
        <v>327</v>
      </c>
      <c r="K151" s="230">
        <v>5633.58</v>
      </c>
      <c r="L151" s="228">
        <v>44169</v>
      </c>
      <c r="M151" s="229" t="s">
        <v>47</v>
      </c>
      <c r="N151" s="229"/>
      <c r="O151" s="228"/>
      <c r="P151" s="228">
        <v>44169</v>
      </c>
      <c r="Q15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5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-5633.58</v>
      </c>
      <c r="U151" s="235">
        <f ca="1">IF(OR(Tabela_Movimentacao[[#This Row],[Status]]="Em Aberto",Tabela_Movimentacao[[#This Row],[Status]]="Prorrogado"),Tabela_Movimentacao[[#This Row],[Valor]],0)</f>
        <v>0</v>
      </c>
      <c r="V151" s="219">
        <f ca="1">IF(Tabela_Movimentacao[[#This Row],[Status]]="Cancelado","",IF(Tabela_Movimentacao[[#This Row],[Status]]&lt;&gt;"Pago","",Tabela_Movimentacao[[#This Row],[Valor]]))</f>
        <v>5633.58</v>
      </c>
    </row>
    <row r="152" spans="1:22" ht="35.5" hidden="1" customHeight="1" x14ac:dyDescent="0.35">
      <c r="A152" s="222" t="str">
        <f t="shared" si="6"/>
        <v>E142</v>
      </c>
      <c r="B152" s="223" t="str">
        <f t="shared" si="7"/>
        <v>FILE</v>
      </c>
      <c r="C152" s="224" t="s">
        <v>56</v>
      </c>
      <c r="D152" s="225" t="s">
        <v>49</v>
      </c>
      <c r="E152" s="226" t="s">
        <v>48</v>
      </c>
      <c r="F152" s="227" t="s">
        <v>286</v>
      </c>
      <c r="G152" s="228">
        <v>44169</v>
      </c>
      <c r="H152" s="229" t="s">
        <v>222</v>
      </c>
      <c r="I152" s="225" t="s">
        <v>329</v>
      </c>
      <c r="J152" s="225" t="s">
        <v>327</v>
      </c>
      <c r="K152" s="230">
        <v>7800</v>
      </c>
      <c r="L152" s="228">
        <v>44169</v>
      </c>
      <c r="M152" s="229" t="s">
        <v>47</v>
      </c>
      <c r="N152" s="229"/>
      <c r="O152" s="228"/>
      <c r="P152" s="228">
        <v>44169</v>
      </c>
      <c r="Q15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5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-7800</v>
      </c>
      <c r="U152" s="235">
        <f ca="1">IF(OR(Tabela_Movimentacao[[#This Row],[Status]]="Em Aberto",Tabela_Movimentacao[[#This Row],[Status]]="Prorrogado"),Tabela_Movimentacao[[#This Row],[Valor]],0)</f>
        <v>0</v>
      </c>
      <c r="V152" s="219">
        <f ca="1">IF(Tabela_Movimentacao[[#This Row],[Status]]="Cancelado","",IF(Tabela_Movimentacao[[#This Row],[Status]]&lt;&gt;"Pago","",Tabela_Movimentacao[[#This Row],[Valor]]))</f>
        <v>7800</v>
      </c>
    </row>
    <row r="153" spans="1:22" ht="35.5" hidden="1" customHeight="1" x14ac:dyDescent="0.35">
      <c r="A153" s="222" t="str">
        <f t="shared" si="6"/>
        <v>E143</v>
      </c>
      <c r="B153" s="223" t="str">
        <f t="shared" si="7"/>
        <v>FILE</v>
      </c>
      <c r="C153" s="224" t="s">
        <v>62</v>
      </c>
      <c r="D153" s="225" t="s">
        <v>104</v>
      </c>
      <c r="E153" s="226" t="s">
        <v>59</v>
      </c>
      <c r="F153" s="227" t="s">
        <v>289</v>
      </c>
      <c r="G153" s="228">
        <v>44169</v>
      </c>
      <c r="H153" s="229" t="s">
        <v>65</v>
      </c>
      <c r="I153" s="225" t="s">
        <v>222</v>
      </c>
      <c r="J153" s="225" t="s">
        <v>327</v>
      </c>
      <c r="K153" s="230">
        <v>5719.32</v>
      </c>
      <c r="L153" s="228">
        <v>44169</v>
      </c>
      <c r="M153" s="229" t="s">
        <v>47</v>
      </c>
      <c r="N153" s="229"/>
      <c r="O153" s="228"/>
      <c r="P153" s="228">
        <v>44169</v>
      </c>
      <c r="Q15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5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5719.32</v>
      </c>
      <c r="U153" s="235">
        <f ca="1">IF(OR(Tabela_Movimentacao[[#This Row],[Status]]="Em Aberto",Tabela_Movimentacao[[#This Row],[Status]]="Prorrogado"),Tabela_Movimentacao[[#This Row],[Valor]],0)</f>
        <v>0</v>
      </c>
      <c r="V153" s="219">
        <f ca="1">IF(Tabela_Movimentacao[[#This Row],[Status]]="Cancelado","",IF(Tabela_Movimentacao[[#This Row],[Status]]&lt;&gt;"Pago","",Tabela_Movimentacao[[#This Row],[Valor]]))</f>
        <v>5719.32</v>
      </c>
    </row>
    <row r="154" spans="1:22" ht="35.5" hidden="1" customHeight="1" x14ac:dyDescent="0.35">
      <c r="A154" s="222" t="str">
        <f t="shared" si="6"/>
        <v>E144</v>
      </c>
      <c r="B154" s="223" t="str">
        <f t="shared" si="7"/>
        <v>FILE</v>
      </c>
      <c r="C154" s="224" t="s">
        <v>62</v>
      </c>
      <c r="D154" s="225" t="s">
        <v>104</v>
      </c>
      <c r="E154" s="226" t="s">
        <v>59</v>
      </c>
      <c r="F154" s="227" t="s">
        <v>289</v>
      </c>
      <c r="G154" s="228">
        <v>44169</v>
      </c>
      <c r="H154" s="229" t="s">
        <v>64</v>
      </c>
      <c r="I154" s="225" t="s">
        <v>222</v>
      </c>
      <c r="J154" s="225" t="s">
        <v>327</v>
      </c>
      <c r="K154" s="230">
        <v>6739.83</v>
      </c>
      <c r="L154" s="228">
        <v>44169</v>
      </c>
      <c r="M154" s="229" t="s">
        <v>47</v>
      </c>
      <c r="N154" s="229"/>
      <c r="O154" s="228"/>
      <c r="P154" s="228">
        <v>44169</v>
      </c>
      <c r="Q15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44169</v>
      </c>
      <c r="S15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6739.83</v>
      </c>
      <c r="U154" s="235">
        <f ca="1">IF(OR(Tabela_Movimentacao[[#This Row],[Status]]="Em Aberto",Tabela_Movimentacao[[#This Row],[Status]]="Prorrogado"),Tabela_Movimentacao[[#This Row],[Valor]],0)</f>
        <v>0</v>
      </c>
      <c r="V154" s="219">
        <f ca="1">IF(Tabela_Movimentacao[[#This Row],[Status]]="Cancelado","",IF(Tabela_Movimentacao[[#This Row],[Status]]&lt;&gt;"Pago","",Tabela_Movimentacao[[#This Row],[Valor]]))</f>
        <v>6739.83</v>
      </c>
    </row>
    <row r="155" spans="1:22" ht="35.5" hidden="1" customHeight="1" x14ac:dyDescent="0.35">
      <c r="A155" s="222" t="str">
        <f t="shared" si="6"/>
        <v>E145</v>
      </c>
      <c r="B155" s="223" t="str">
        <f t="shared" si="7"/>
        <v>FILE</v>
      </c>
      <c r="C155" s="224" t="s">
        <v>62</v>
      </c>
      <c r="D155" s="225" t="s">
        <v>104</v>
      </c>
      <c r="E155" s="226" t="s">
        <v>59</v>
      </c>
      <c r="F155" s="227" t="s">
        <v>292</v>
      </c>
      <c r="G155" s="228">
        <v>44172</v>
      </c>
      <c r="H155" s="229" t="s">
        <v>65</v>
      </c>
      <c r="I155" s="225" t="s">
        <v>222</v>
      </c>
      <c r="J155" s="225" t="s">
        <v>327</v>
      </c>
      <c r="K155" s="230">
        <v>2970</v>
      </c>
      <c r="L155" s="228">
        <v>44172</v>
      </c>
      <c r="M155" s="229" t="s">
        <v>44</v>
      </c>
      <c r="N155" s="229"/>
      <c r="O155" s="228"/>
      <c r="P155" s="228">
        <v>44172</v>
      </c>
      <c r="Q15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44172</v>
      </c>
      <c r="S15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2970</v>
      </c>
      <c r="U155" s="235">
        <f ca="1">IF(OR(Tabela_Movimentacao[[#This Row],[Status]]="Em Aberto",Tabela_Movimentacao[[#This Row],[Status]]="Prorrogado"),Tabela_Movimentacao[[#This Row],[Valor]],0)</f>
        <v>0</v>
      </c>
      <c r="V155" s="219">
        <f ca="1">IF(Tabela_Movimentacao[[#This Row],[Status]]="Cancelado","",IF(Tabela_Movimentacao[[#This Row],[Status]]&lt;&gt;"Pago","",Tabela_Movimentacao[[#This Row],[Valor]]))</f>
        <v>2970</v>
      </c>
    </row>
    <row r="156" spans="1:22" ht="35.5" hidden="1" customHeight="1" x14ac:dyDescent="0.35">
      <c r="A156" s="222" t="str">
        <f t="shared" si="6"/>
        <v>E146</v>
      </c>
      <c r="B156" s="223" t="str">
        <f t="shared" si="7"/>
        <v>FILE</v>
      </c>
      <c r="C156" s="224" t="s">
        <v>56</v>
      </c>
      <c r="D156" s="225" t="s">
        <v>49</v>
      </c>
      <c r="E156" s="226" t="s">
        <v>48</v>
      </c>
      <c r="F156" s="227" t="s">
        <v>292</v>
      </c>
      <c r="G156" s="228">
        <v>44172</v>
      </c>
      <c r="H156" s="229" t="s">
        <v>65</v>
      </c>
      <c r="I156" s="225" t="s">
        <v>293</v>
      </c>
      <c r="J156" s="225" t="s">
        <v>327</v>
      </c>
      <c r="K156" s="230">
        <v>2970</v>
      </c>
      <c r="L156" s="228">
        <v>44172</v>
      </c>
      <c r="M156" s="229" t="s">
        <v>44</v>
      </c>
      <c r="N156" s="229"/>
      <c r="O156" s="228"/>
      <c r="P156" s="228">
        <v>44172</v>
      </c>
      <c r="Q15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44172</v>
      </c>
      <c r="S15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-2970</v>
      </c>
      <c r="U156" s="235">
        <f ca="1">IF(OR(Tabela_Movimentacao[[#This Row],[Status]]="Em Aberto",Tabela_Movimentacao[[#This Row],[Status]]="Prorrogado"),Tabela_Movimentacao[[#This Row],[Valor]],0)</f>
        <v>0</v>
      </c>
      <c r="V156" s="219">
        <f ca="1">IF(Tabela_Movimentacao[[#This Row],[Status]]="Cancelado","",IF(Tabela_Movimentacao[[#This Row],[Status]]&lt;&gt;"Pago","",Tabela_Movimentacao[[#This Row],[Valor]]))</f>
        <v>2970</v>
      </c>
    </row>
    <row r="157" spans="1:22" ht="35.5" hidden="1" customHeight="1" x14ac:dyDescent="0.35">
      <c r="A157" s="222" t="str">
        <f t="shared" si="6"/>
        <v>E147</v>
      </c>
      <c r="B157" s="223" t="str">
        <f t="shared" si="7"/>
        <v>FILE</v>
      </c>
      <c r="C157" s="224" t="s">
        <v>62</v>
      </c>
      <c r="D157" s="225" t="s">
        <v>104</v>
      </c>
      <c r="E157" s="226" t="s">
        <v>59</v>
      </c>
      <c r="F157" s="227" t="s">
        <v>295</v>
      </c>
      <c r="G157" s="228">
        <v>44175</v>
      </c>
      <c r="H157" s="229" t="s">
        <v>65</v>
      </c>
      <c r="I157" s="225" t="s">
        <v>222</v>
      </c>
      <c r="J157" s="225" t="s">
        <v>327</v>
      </c>
      <c r="K157" s="230">
        <v>2021.3</v>
      </c>
      <c r="L157" s="228">
        <v>44175</v>
      </c>
      <c r="M157" s="229" t="s">
        <v>44</v>
      </c>
      <c r="N157" s="229"/>
      <c r="O157" s="228"/>
      <c r="P157" s="228">
        <v>44175</v>
      </c>
      <c r="Q15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5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2021.3</v>
      </c>
      <c r="U157" s="235">
        <f ca="1">IF(OR(Tabela_Movimentacao[[#This Row],[Status]]="Em Aberto",Tabela_Movimentacao[[#This Row],[Status]]="Prorrogado"),Tabela_Movimentacao[[#This Row],[Valor]],0)</f>
        <v>0</v>
      </c>
      <c r="V157" s="219">
        <f ca="1">IF(Tabela_Movimentacao[[#This Row],[Status]]="Cancelado","",IF(Tabela_Movimentacao[[#This Row],[Status]]&lt;&gt;"Pago","",Tabela_Movimentacao[[#This Row],[Valor]]))</f>
        <v>2021.3</v>
      </c>
    </row>
    <row r="158" spans="1:22" ht="35.5" hidden="1" customHeight="1" x14ac:dyDescent="0.35">
      <c r="A158" s="222" t="str">
        <f t="shared" si="6"/>
        <v>E148</v>
      </c>
      <c r="B158" s="223" t="str">
        <f t="shared" si="7"/>
        <v>FILE</v>
      </c>
      <c r="C158" s="224" t="s">
        <v>56</v>
      </c>
      <c r="D158" s="225" t="s">
        <v>49</v>
      </c>
      <c r="E158" s="226" t="s">
        <v>48</v>
      </c>
      <c r="F158" s="227" t="s">
        <v>295</v>
      </c>
      <c r="G158" s="228">
        <v>44175</v>
      </c>
      <c r="H158" s="229" t="s">
        <v>65</v>
      </c>
      <c r="I158" s="225" t="s">
        <v>316</v>
      </c>
      <c r="J158" s="225" t="s">
        <v>327</v>
      </c>
      <c r="K158" s="230">
        <v>2021.3</v>
      </c>
      <c r="L158" s="228">
        <v>44175</v>
      </c>
      <c r="M158" s="229" t="s">
        <v>44</v>
      </c>
      <c r="N158" s="229"/>
      <c r="O158" s="228"/>
      <c r="P158" s="228">
        <v>44175</v>
      </c>
      <c r="Q15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5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-2021.3</v>
      </c>
      <c r="U158" s="235">
        <f ca="1">IF(OR(Tabela_Movimentacao[[#This Row],[Status]]="Em Aberto",Tabela_Movimentacao[[#This Row],[Status]]="Prorrogado"),Tabela_Movimentacao[[#This Row],[Valor]],0)</f>
        <v>0</v>
      </c>
      <c r="V158" s="219">
        <f ca="1">IF(Tabela_Movimentacao[[#This Row],[Status]]="Cancelado","",IF(Tabela_Movimentacao[[#This Row],[Status]]&lt;&gt;"Pago","",Tabela_Movimentacao[[#This Row],[Valor]]))</f>
        <v>2021.3</v>
      </c>
    </row>
    <row r="159" spans="1:22" ht="35.5" hidden="1" customHeight="1" x14ac:dyDescent="0.35">
      <c r="A159" s="222" t="str">
        <f t="shared" si="6"/>
        <v>E149</v>
      </c>
      <c r="B159" s="223" t="str">
        <f t="shared" si="7"/>
        <v>FILE</v>
      </c>
      <c r="C159" s="224" t="s">
        <v>62</v>
      </c>
      <c r="D159" s="225" t="s">
        <v>104</v>
      </c>
      <c r="E159" s="226" t="s">
        <v>59</v>
      </c>
      <c r="F159" s="227" t="s">
        <v>296</v>
      </c>
      <c r="G159" s="228">
        <v>44175</v>
      </c>
      <c r="H159" s="229" t="s">
        <v>64</v>
      </c>
      <c r="I159" s="225" t="s">
        <v>222</v>
      </c>
      <c r="J159" s="225" t="s">
        <v>327</v>
      </c>
      <c r="K159" s="230">
        <v>2000</v>
      </c>
      <c r="L159" s="228">
        <v>44175</v>
      </c>
      <c r="M159" s="229" t="s">
        <v>44</v>
      </c>
      <c r="N159" s="229"/>
      <c r="O159" s="228"/>
      <c r="P159" s="228">
        <v>44175</v>
      </c>
      <c r="Q15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5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5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5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2000</v>
      </c>
      <c r="U159" s="235">
        <f ca="1">IF(OR(Tabela_Movimentacao[[#This Row],[Status]]="Em Aberto",Tabela_Movimentacao[[#This Row],[Status]]="Prorrogado"),Tabela_Movimentacao[[#This Row],[Valor]],0)</f>
        <v>0</v>
      </c>
      <c r="V159" s="219">
        <f ca="1">IF(Tabela_Movimentacao[[#This Row],[Status]]="Cancelado","",IF(Tabela_Movimentacao[[#This Row],[Status]]&lt;&gt;"Pago","",Tabela_Movimentacao[[#This Row],[Valor]]))</f>
        <v>2000</v>
      </c>
    </row>
    <row r="160" spans="1:22" ht="35.5" hidden="1" customHeight="1" x14ac:dyDescent="0.35">
      <c r="A160" s="222" t="str">
        <f t="shared" si="6"/>
        <v>E150</v>
      </c>
      <c r="B160" s="223" t="str">
        <f t="shared" si="7"/>
        <v>FILE</v>
      </c>
      <c r="C160" s="224" t="s">
        <v>56</v>
      </c>
      <c r="D160" s="225" t="s">
        <v>49</v>
      </c>
      <c r="E160" s="226" t="s">
        <v>48</v>
      </c>
      <c r="F160" s="227" t="s">
        <v>296</v>
      </c>
      <c r="G160" s="228">
        <v>44175</v>
      </c>
      <c r="H160" s="229" t="s">
        <v>64</v>
      </c>
      <c r="I160" s="225" t="s">
        <v>316</v>
      </c>
      <c r="J160" s="225" t="s">
        <v>327</v>
      </c>
      <c r="K160" s="230">
        <v>2000</v>
      </c>
      <c r="L160" s="228">
        <v>44175</v>
      </c>
      <c r="M160" s="229" t="s">
        <v>44</v>
      </c>
      <c r="N160" s="229"/>
      <c r="O160" s="228"/>
      <c r="P160" s="228">
        <v>44175</v>
      </c>
      <c r="Q16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6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-2000</v>
      </c>
      <c r="U160" s="235">
        <f ca="1">IF(OR(Tabela_Movimentacao[[#This Row],[Status]]="Em Aberto",Tabela_Movimentacao[[#This Row],[Status]]="Prorrogado"),Tabela_Movimentacao[[#This Row],[Valor]],0)</f>
        <v>0</v>
      </c>
      <c r="V160" s="219">
        <f ca="1">IF(Tabela_Movimentacao[[#This Row],[Status]]="Cancelado","",IF(Tabela_Movimentacao[[#This Row],[Status]]&lt;&gt;"Pago","",Tabela_Movimentacao[[#This Row],[Valor]]))</f>
        <v>2000</v>
      </c>
    </row>
    <row r="161" spans="1:22" ht="35.5" hidden="1" customHeight="1" x14ac:dyDescent="0.35">
      <c r="A161" s="222" t="str">
        <f t="shared" si="6"/>
        <v>E151</v>
      </c>
      <c r="B161" s="223" t="str">
        <f t="shared" si="7"/>
        <v>FILE</v>
      </c>
      <c r="C161" s="224" t="s">
        <v>62</v>
      </c>
      <c r="D161" s="225" t="s">
        <v>104</v>
      </c>
      <c r="E161" s="226" t="s">
        <v>59</v>
      </c>
      <c r="F161" s="227" t="s">
        <v>294</v>
      </c>
      <c r="G161" s="228">
        <v>44175</v>
      </c>
      <c r="H161" s="229" t="s">
        <v>65</v>
      </c>
      <c r="I161" s="225" t="s">
        <v>222</v>
      </c>
      <c r="J161" s="225" t="s">
        <v>327</v>
      </c>
      <c r="K161" s="230">
        <v>1030</v>
      </c>
      <c r="L161" s="228">
        <v>44175</v>
      </c>
      <c r="M161" s="229" t="s">
        <v>44</v>
      </c>
      <c r="N161" s="229"/>
      <c r="O161" s="228"/>
      <c r="P161" s="228">
        <v>44175</v>
      </c>
      <c r="Q16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6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1030</v>
      </c>
      <c r="U161" s="235">
        <f ca="1">IF(OR(Tabela_Movimentacao[[#This Row],[Status]]="Em Aberto",Tabela_Movimentacao[[#This Row],[Status]]="Prorrogado"),Tabela_Movimentacao[[#This Row],[Valor]],0)</f>
        <v>0</v>
      </c>
      <c r="V161" s="219">
        <f ca="1">IF(Tabela_Movimentacao[[#This Row],[Status]]="Cancelado","",IF(Tabela_Movimentacao[[#This Row],[Status]]&lt;&gt;"Pago","",Tabela_Movimentacao[[#This Row],[Valor]]))</f>
        <v>1030</v>
      </c>
    </row>
    <row r="162" spans="1:22" ht="35.5" hidden="1" customHeight="1" x14ac:dyDescent="0.35">
      <c r="A162" s="222" t="str">
        <f t="shared" si="6"/>
        <v>E152</v>
      </c>
      <c r="B162" s="223" t="str">
        <f t="shared" si="7"/>
        <v>FILE</v>
      </c>
      <c r="C162" s="224" t="s">
        <v>56</v>
      </c>
      <c r="D162" s="225" t="s">
        <v>49</v>
      </c>
      <c r="E162" s="226" t="s">
        <v>48</v>
      </c>
      <c r="F162" s="227" t="s">
        <v>294</v>
      </c>
      <c r="G162" s="228">
        <v>44175</v>
      </c>
      <c r="H162" s="229" t="s">
        <v>65</v>
      </c>
      <c r="I162" s="225" t="s">
        <v>290</v>
      </c>
      <c r="J162" s="225" t="s">
        <v>327</v>
      </c>
      <c r="K162" s="230">
        <v>1030</v>
      </c>
      <c r="L162" s="228">
        <v>44175</v>
      </c>
      <c r="M162" s="229" t="s">
        <v>44</v>
      </c>
      <c r="N162" s="229"/>
      <c r="O162" s="228"/>
      <c r="P162" s="228">
        <v>44175</v>
      </c>
      <c r="Q16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6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-1030</v>
      </c>
      <c r="U162" s="235">
        <f ca="1">IF(OR(Tabela_Movimentacao[[#This Row],[Status]]="Em Aberto",Tabela_Movimentacao[[#This Row],[Status]]="Prorrogado"),Tabela_Movimentacao[[#This Row],[Valor]],0)</f>
        <v>0</v>
      </c>
      <c r="V162" s="219">
        <f ca="1">IF(Tabela_Movimentacao[[#This Row],[Status]]="Cancelado","",IF(Tabela_Movimentacao[[#This Row],[Status]]&lt;&gt;"Pago","",Tabela_Movimentacao[[#This Row],[Valor]]))</f>
        <v>1030</v>
      </c>
    </row>
    <row r="163" spans="1:22" ht="35.5" hidden="1" customHeight="1" x14ac:dyDescent="0.35">
      <c r="A163" s="222" t="str">
        <f t="shared" si="6"/>
        <v>E153</v>
      </c>
      <c r="B163" s="223" t="str">
        <f t="shared" si="7"/>
        <v>FILE</v>
      </c>
      <c r="C163" s="224" t="s">
        <v>62</v>
      </c>
      <c r="D163" s="225" t="s">
        <v>104</v>
      </c>
      <c r="E163" s="226" t="s">
        <v>59</v>
      </c>
      <c r="F163" s="227" t="s">
        <v>280</v>
      </c>
      <c r="G163" s="228">
        <v>44175</v>
      </c>
      <c r="H163" s="229" t="s">
        <v>64</v>
      </c>
      <c r="I163" s="225" t="s">
        <v>222</v>
      </c>
      <c r="J163" s="225" t="s">
        <v>327</v>
      </c>
      <c r="K163" s="230">
        <v>2801.4</v>
      </c>
      <c r="L163" s="228">
        <v>44175</v>
      </c>
      <c r="M163" s="229" t="s">
        <v>44</v>
      </c>
      <c r="N163" s="229"/>
      <c r="O163" s="228"/>
      <c r="P163" s="228">
        <v>44175</v>
      </c>
      <c r="Q16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6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2801.4</v>
      </c>
      <c r="U163" s="235">
        <f ca="1">IF(OR(Tabela_Movimentacao[[#This Row],[Status]]="Em Aberto",Tabela_Movimentacao[[#This Row],[Status]]="Prorrogado"),Tabela_Movimentacao[[#This Row],[Valor]],0)</f>
        <v>0</v>
      </c>
      <c r="V163" s="219">
        <f ca="1">IF(Tabela_Movimentacao[[#This Row],[Status]]="Cancelado","",IF(Tabela_Movimentacao[[#This Row],[Status]]&lt;&gt;"Pago","",Tabela_Movimentacao[[#This Row],[Valor]]))</f>
        <v>2801.4</v>
      </c>
    </row>
    <row r="164" spans="1:22" ht="35.5" hidden="1" customHeight="1" x14ac:dyDescent="0.35">
      <c r="A164" s="222" t="str">
        <f t="shared" si="6"/>
        <v>E154</v>
      </c>
      <c r="B164" s="223" t="str">
        <f t="shared" si="7"/>
        <v>FILE</v>
      </c>
      <c r="C164" s="224" t="s">
        <v>56</v>
      </c>
      <c r="D164" s="225" t="s">
        <v>49</v>
      </c>
      <c r="E164" s="226" t="s">
        <v>48</v>
      </c>
      <c r="F164" s="227" t="s">
        <v>280</v>
      </c>
      <c r="G164" s="228">
        <v>44175</v>
      </c>
      <c r="H164" s="229" t="s">
        <v>64</v>
      </c>
      <c r="I164" s="225" t="s">
        <v>291</v>
      </c>
      <c r="J164" s="225" t="s">
        <v>327</v>
      </c>
      <c r="K164" s="230">
        <v>2801.4</v>
      </c>
      <c r="L164" s="228">
        <v>44175</v>
      </c>
      <c r="M164" s="229" t="s">
        <v>44</v>
      </c>
      <c r="N164" s="229"/>
      <c r="O164" s="228"/>
      <c r="P164" s="228">
        <v>44175</v>
      </c>
      <c r="Q16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44175</v>
      </c>
      <c r="S16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-2801.4</v>
      </c>
      <c r="U164" s="235">
        <f ca="1">IF(OR(Tabela_Movimentacao[[#This Row],[Status]]="Em Aberto",Tabela_Movimentacao[[#This Row],[Status]]="Prorrogado"),Tabela_Movimentacao[[#This Row],[Valor]],0)</f>
        <v>0</v>
      </c>
      <c r="V164" s="219">
        <f ca="1">IF(Tabela_Movimentacao[[#This Row],[Status]]="Cancelado","",IF(Tabela_Movimentacao[[#This Row],[Status]]&lt;&gt;"Pago","",Tabela_Movimentacao[[#This Row],[Valor]]))</f>
        <v>2801.4</v>
      </c>
    </row>
    <row r="165" spans="1:22" ht="35.5" hidden="1" customHeight="1" x14ac:dyDescent="0.35">
      <c r="A165" s="222" t="str">
        <f t="shared" si="6"/>
        <v>E155</v>
      </c>
      <c r="B165" s="223" t="str">
        <f t="shared" si="7"/>
        <v>FILE</v>
      </c>
      <c r="C165" s="224" t="s">
        <v>62</v>
      </c>
      <c r="D165" s="225" t="s">
        <v>104</v>
      </c>
      <c r="E165" s="226" t="s">
        <v>59</v>
      </c>
      <c r="F165" s="227" t="s">
        <v>300</v>
      </c>
      <c r="G165" s="228">
        <v>44180</v>
      </c>
      <c r="H165" s="229" t="s">
        <v>64</v>
      </c>
      <c r="I165" s="225" t="s">
        <v>222</v>
      </c>
      <c r="J165" s="225" t="s">
        <v>327</v>
      </c>
      <c r="K165" s="230">
        <v>2495.9900000000016</v>
      </c>
      <c r="L165" s="228">
        <v>44189</v>
      </c>
      <c r="M165" s="229" t="s">
        <v>47</v>
      </c>
      <c r="N165" s="229"/>
      <c r="O165" s="228"/>
      <c r="P165" s="228">
        <v>44189</v>
      </c>
      <c r="Q16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6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2495.9900000000016</v>
      </c>
      <c r="U165" s="235">
        <f ca="1">IF(OR(Tabela_Movimentacao[[#This Row],[Status]]="Em Aberto",Tabela_Movimentacao[[#This Row],[Status]]="Prorrogado"),Tabela_Movimentacao[[#This Row],[Valor]],0)</f>
        <v>0</v>
      </c>
      <c r="V165" s="219">
        <f ca="1">IF(Tabela_Movimentacao[[#This Row],[Status]]="Cancelado","",IF(Tabela_Movimentacao[[#This Row],[Status]]&lt;&gt;"Pago","",Tabela_Movimentacao[[#This Row],[Valor]]))</f>
        <v>2495.9900000000016</v>
      </c>
    </row>
    <row r="166" spans="1:22" ht="35.5" hidden="1" customHeight="1" x14ac:dyDescent="0.35">
      <c r="A166" s="222" t="str">
        <f t="shared" si="6"/>
        <v>E156</v>
      </c>
      <c r="B166" s="223" t="str">
        <f t="shared" si="7"/>
        <v>FILE</v>
      </c>
      <c r="C166" s="224" t="s">
        <v>62</v>
      </c>
      <c r="D166" s="225" t="s">
        <v>104</v>
      </c>
      <c r="E166" s="226" t="s">
        <v>59</v>
      </c>
      <c r="F166" s="227" t="s">
        <v>299</v>
      </c>
      <c r="G166" s="228">
        <v>44180</v>
      </c>
      <c r="H166" s="229" t="s">
        <v>63</v>
      </c>
      <c r="I166" s="225" t="s">
        <v>222</v>
      </c>
      <c r="J166" s="225" t="s">
        <v>327</v>
      </c>
      <c r="K166" s="230">
        <v>4396.1899999999996</v>
      </c>
      <c r="L166" s="228">
        <v>44180</v>
      </c>
      <c r="M166" s="229" t="s">
        <v>47</v>
      </c>
      <c r="N166" s="229"/>
      <c r="O166" s="228"/>
      <c r="P166" s="228">
        <v>44180</v>
      </c>
      <c r="Q16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6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4396.1899999999996</v>
      </c>
      <c r="U166" s="235">
        <f ca="1">IF(OR(Tabela_Movimentacao[[#This Row],[Status]]="Em Aberto",Tabela_Movimentacao[[#This Row],[Status]]="Prorrogado"),Tabela_Movimentacao[[#This Row],[Valor]],0)</f>
        <v>0</v>
      </c>
      <c r="V166" s="219">
        <f ca="1">IF(Tabela_Movimentacao[[#This Row],[Status]]="Cancelado","",IF(Tabela_Movimentacao[[#This Row],[Status]]&lt;&gt;"Pago","",Tabela_Movimentacao[[#This Row],[Valor]]))</f>
        <v>4396.1899999999996</v>
      </c>
    </row>
    <row r="167" spans="1:22" ht="35.5" hidden="1" customHeight="1" x14ac:dyDescent="0.35">
      <c r="A167" s="222" t="str">
        <f t="shared" si="6"/>
        <v>E157</v>
      </c>
      <c r="B167" s="223" t="str">
        <f t="shared" si="7"/>
        <v>FILE</v>
      </c>
      <c r="C167" s="224" t="s">
        <v>62</v>
      </c>
      <c r="D167" s="225" t="s">
        <v>104</v>
      </c>
      <c r="E167" s="226" t="s">
        <v>59</v>
      </c>
      <c r="F167" s="227" t="s">
        <v>299</v>
      </c>
      <c r="G167" s="228">
        <v>44180</v>
      </c>
      <c r="H167" s="229" t="s">
        <v>65</v>
      </c>
      <c r="I167" s="225" t="s">
        <v>222</v>
      </c>
      <c r="J167" s="225" t="s">
        <v>327</v>
      </c>
      <c r="K167" s="230">
        <v>4396.1899999999996</v>
      </c>
      <c r="L167" s="228">
        <v>44180</v>
      </c>
      <c r="M167" s="229" t="s">
        <v>47</v>
      </c>
      <c r="N167" s="229"/>
      <c r="O167" s="228"/>
      <c r="P167" s="228">
        <v>44180</v>
      </c>
      <c r="Q16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6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4396.1899999999996</v>
      </c>
      <c r="U167" s="235">
        <f ca="1">IF(OR(Tabela_Movimentacao[[#This Row],[Status]]="Em Aberto",Tabela_Movimentacao[[#This Row],[Status]]="Prorrogado"),Tabela_Movimentacao[[#This Row],[Valor]],0)</f>
        <v>0</v>
      </c>
      <c r="V167" s="219">
        <f ca="1">IF(Tabela_Movimentacao[[#This Row],[Status]]="Cancelado","",IF(Tabela_Movimentacao[[#This Row],[Status]]&lt;&gt;"Pago","",Tabela_Movimentacao[[#This Row],[Valor]]))</f>
        <v>4396.1899999999996</v>
      </c>
    </row>
    <row r="168" spans="1:22" ht="35.5" hidden="1" customHeight="1" x14ac:dyDescent="0.35">
      <c r="A168" s="222" t="str">
        <f t="shared" si="6"/>
        <v>E158</v>
      </c>
      <c r="B168" s="223" t="str">
        <f t="shared" si="7"/>
        <v>FILE</v>
      </c>
      <c r="C168" s="224" t="s">
        <v>56</v>
      </c>
      <c r="D168" s="225" t="s">
        <v>49</v>
      </c>
      <c r="E168" s="226" t="s">
        <v>50</v>
      </c>
      <c r="F168" s="227" t="s">
        <v>299</v>
      </c>
      <c r="G168" s="228">
        <v>44180</v>
      </c>
      <c r="H168" s="229" t="s">
        <v>63</v>
      </c>
      <c r="I168" s="225" t="s">
        <v>329</v>
      </c>
      <c r="J168" s="225" t="s">
        <v>327</v>
      </c>
      <c r="K168" s="230">
        <v>4396.1899999999996</v>
      </c>
      <c r="L168" s="228">
        <v>44180</v>
      </c>
      <c r="M168" s="229" t="s">
        <v>47</v>
      </c>
      <c r="N168" s="229"/>
      <c r="O168" s="228"/>
      <c r="P168" s="228">
        <v>44180</v>
      </c>
      <c r="Q16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6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-4396.1899999999996</v>
      </c>
      <c r="U168" s="235">
        <f ca="1">IF(OR(Tabela_Movimentacao[[#This Row],[Status]]="Em Aberto",Tabela_Movimentacao[[#This Row],[Status]]="Prorrogado"),Tabela_Movimentacao[[#This Row],[Valor]],0)</f>
        <v>0</v>
      </c>
      <c r="V168" s="219">
        <f ca="1">IF(Tabela_Movimentacao[[#This Row],[Status]]="Cancelado","",IF(Tabela_Movimentacao[[#This Row],[Status]]&lt;&gt;"Pago","",Tabela_Movimentacao[[#This Row],[Valor]]))</f>
        <v>4396.1899999999996</v>
      </c>
    </row>
    <row r="169" spans="1:22" ht="35.5" hidden="1" customHeight="1" x14ac:dyDescent="0.35">
      <c r="A169" s="222" t="str">
        <f t="shared" si="6"/>
        <v>E159</v>
      </c>
      <c r="B169" s="223" t="str">
        <f t="shared" si="7"/>
        <v>FILE</v>
      </c>
      <c r="C169" s="224" t="s">
        <v>56</v>
      </c>
      <c r="D169" s="225" t="s">
        <v>49</v>
      </c>
      <c r="E169" s="226" t="s">
        <v>48</v>
      </c>
      <c r="F169" s="227" t="s">
        <v>299</v>
      </c>
      <c r="G169" s="228">
        <v>44180</v>
      </c>
      <c r="H169" s="229" t="s">
        <v>65</v>
      </c>
      <c r="I169" s="225" t="s">
        <v>329</v>
      </c>
      <c r="J169" s="225" t="s">
        <v>327</v>
      </c>
      <c r="K169" s="230">
        <v>4396.1899999999996</v>
      </c>
      <c r="L169" s="228">
        <v>44180</v>
      </c>
      <c r="M169" s="229" t="s">
        <v>47</v>
      </c>
      <c r="N169" s="229"/>
      <c r="O169" s="228"/>
      <c r="P169" s="228">
        <v>44180</v>
      </c>
      <c r="Q16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6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6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6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-4396.1899999999996</v>
      </c>
      <c r="U169" s="235">
        <f ca="1">IF(OR(Tabela_Movimentacao[[#This Row],[Status]]="Em Aberto",Tabela_Movimentacao[[#This Row],[Status]]="Prorrogado"),Tabela_Movimentacao[[#This Row],[Valor]],0)</f>
        <v>0</v>
      </c>
      <c r="V169" s="219">
        <f ca="1">IF(Tabela_Movimentacao[[#This Row],[Status]]="Cancelado","",IF(Tabela_Movimentacao[[#This Row],[Status]]&lt;&gt;"Pago","",Tabela_Movimentacao[[#This Row],[Valor]]))</f>
        <v>4396.1899999999996</v>
      </c>
    </row>
    <row r="170" spans="1:22" ht="35.5" hidden="1" customHeight="1" x14ac:dyDescent="0.35">
      <c r="A170" s="222" t="str">
        <f t="shared" si="6"/>
        <v>E160</v>
      </c>
      <c r="B170" s="223" t="str">
        <f t="shared" si="7"/>
        <v>FILE</v>
      </c>
      <c r="C170" s="224" t="s">
        <v>62</v>
      </c>
      <c r="D170" s="225" t="s">
        <v>104</v>
      </c>
      <c r="E170" s="226" t="s">
        <v>59</v>
      </c>
      <c r="F170" s="227" t="s">
        <v>298</v>
      </c>
      <c r="G170" s="228">
        <v>44180</v>
      </c>
      <c r="H170" s="229" t="s">
        <v>64</v>
      </c>
      <c r="I170" s="225" t="s">
        <v>222</v>
      </c>
      <c r="J170" s="225" t="s">
        <v>327</v>
      </c>
      <c r="K170" s="230">
        <v>6296.37</v>
      </c>
      <c r="L170" s="228">
        <v>44180</v>
      </c>
      <c r="M170" s="229" t="s">
        <v>47</v>
      </c>
      <c r="N170" s="229"/>
      <c r="O170" s="228"/>
      <c r="P170" s="228">
        <v>44180</v>
      </c>
      <c r="Q17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7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6296.37</v>
      </c>
      <c r="U170" s="235">
        <f ca="1">IF(OR(Tabela_Movimentacao[[#This Row],[Status]]="Em Aberto",Tabela_Movimentacao[[#This Row],[Status]]="Prorrogado"),Tabela_Movimentacao[[#This Row],[Valor]],0)</f>
        <v>0</v>
      </c>
      <c r="V170" s="219">
        <f ca="1">IF(Tabela_Movimentacao[[#This Row],[Status]]="Cancelado","",IF(Tabela_Movimentacao[[#This Row],[Status]]&lt;&gt;"Pago","",Tabela_Movimentacao[[#This Row],[Valor]]))</f>
        <v>6296.37</v>
      </c>
    </row>
    <row r="171" spans="1:22" ht="35.5" hidden="1" customHeight="1" x14ac:dyDescent="0.35">
      <c r="A171" s="222" t="str">
        <f t="shared" ref="A171:A176" si="8">"E"&amp;ROW()-10</f>
        <v>E161</v>
      </c>
      <c r="B171" s="223" t="str">
        <f t="shared" si="7"/>
        <v>FILE</v>
      </c>
      <c r="C171" s="224" t="s">
        <v>56</v>
      </c>
      <c r="D171" s="225" t="s">
        <v>49</v>
      </c>
      <c r="E171" s="226" t="s">
        <v>50</v>
      </c>
      <c r="F171" s="227" t="s">
        <v>298</v>
      </c>
      <c r="G171" s="228">
        <v>44180</v>
      </c>
      <c r="H171" s="229" t="s">
        <v>64</v>
      </c>
      <c r="I171" s="225" t="s">
        <v>329</v>
      </c>
      <c r="J171" s="225" t="s">
        <v>327</v>
      </c>
      <c r="K171" s="230">
        <v>6296.37</v>
      </c>
      <c r="L171" s="228">
        <v>44180</v>
      </c>
      <c r="M171" s="229" t="s">
        <v>47</v>
      </c>
      <c r="N171" s="229"/>
      <c r="O171" s="228"/>
      <c r="P171" s="228">
        <v>44180</v>
      </c>
      <c r="Q17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7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-6296.37</v>
      </c>
      <c r="U171" s="235">
        <f ca="1">IF(OR(Tabela_Movimentacao[[#This Row],[Status]]="Em Aberto",Tabela_Movimentacao[[#This Row],[Status]]="Prorrogado"),Tabela_Movimentacao[[#This Row],[Valor]],0)</f>
        <v>0</v>
      </c>
      <c r="V171" s="219">
        <f ca="1">IF(Tabela_Movimentacao[[#This Row],[Status]]="Cancelado","",IF(Tabela_Movimentacao[[#This Row],[Status]]&lt;&gt;"Pago","",Tabela_Movimentacao[[#This Row],[Valor]]))</f>
        <v>6296.37</v>
      </c>
    </row>
    <row r="172" spans="1:22" ht="35.5" hidden="1" customHeight="1" x14ac:dyDescent="0.35">
      <c r="A172" s="222" t="str">
        <f t="shared" si="8"/>
        <v>E162</v>
      </c>
      <c r="B172" s="223" t="str">
        <f t="shared" si="7"/>
        <v>FILE</v>
      </c>
      <c r="C172" s="224" t="s">
        <v>62</v>
      </c>
      <c r="D172" s="225" t="s">
        <v>104</v>
      </c>
      <c r="E172" s="226" t="s">
        <v>59</v>
      </c>
      <c r="F172" s="227" t="s">
        <v>297</v>
      </c>
      <c r="G172" s="228">
        <v>44180</v>
      </c>
      <c r="H172" s="229" t="s">
        <v>64</v>
      </c>
      <c r="I172" s="225" t="s">
        <v>222</v>
      </c>
      <c r="J172" s="225" t="s">
        <v>327</v>
      </c>
      <c r="K172" s="230">
        <v>521.07000000000005</v>
      </c>
      <c r="L172" s="228">
        <v>44180</v>
      </c>
      <c r="M172" s="229" t="s">
        <v>44</v>
      </c>
      <c r="N172" s="229"/>
      <c r="O172" s="228"/>
      <c r="P172" s="228">
        <v>44180</v>
      </c>
      <c r="Q17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7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521.07000000000005</v>
      </c>
      <c r="U172" s="235">
        <f ca="1">IF(OR(Tabela_Movimentacao[[#This Row],[Status]]="Em Aberto",Tabela_Movimentacao[[#This Row],[Status]]="Prorrogado"),Tabela_Movimentacao[[#This Row],[Valor]],0)</f>
        <v>0</v>
      </c>
      <c r="V172" s="219">
        <f ca="1">IF(Tabela_Movimentacao[[#This Row],[Status]]="Cancelado","",IF(Tabela_Movimentacao[[#This Row],[Status]]&lt;&gt;"Pago","",Tabela_Movimentacao[[#This Row],[Valor]]))</f>
        <v>521.07000000000005</v>
      </c>
    </row>
    <row r="173" spans="1:22" ht="35.5" hidden="1" customHeight="1" x14ac:dyDescent="0.35">
      <c r="A173" s="222" t="str">
        <f t="shared" si="8"/>
        <v>E163</v>
      </c>
      <c r="B173" s="223" t="str">
        <f t="shared" si="7"/>
        <v>FILE</v>
      </c>
      <c r="C173" s="224" t="s">
        <v>56</v>
      </c>
      <c r="D173" s="225" t="s">
        <v>49</v>
      </c>
      <c r="E173" s="226" t="s">
        <v>48</v>
      </c>
      <c r="F173" s="227" t="s">
        <v>297</v>
      </c>
      <c r="G173" s="228">
        <v>44180</v>
      </c>
      <c r="H173" s="229" t="s">
        <v>64</v>
      </c>
      <c r="I173" s="225" t="s">
        <v>290</v>
      </c>
      <c r="J173" s="225" t="s">
        <v>327</v>
      </c>
      <c r="K173" s="230">
        <v>521.07000000000005</v>
      </c>
      <c r="L173" s="228">
        <v>44180</v>
      </c>
      <c r="M173" s="229" t="s">
        <v>44</v>
      </c>
      <c r="N173" s="229"/>
      <c r="O173" s="228"/>
      <c r="P173" s="228">
        <v>44180</v>
      </c>
      <c r="Q17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44180</v>
      </c>
      <c r="S17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-521.07000000000005</v>
      </c>
      <c r="U173" s="235">
        <f ca="1">IF(OR(Tabela_Movimentacao[[#This Row],[Status]]="Em Aberto",Tabela_Movimentacao[[#This Row],[Status]]="Prorrogado"),Tabela_Movimentacao[[#This Row],[Valor]],0)</f>
        <v>0</v>
      </c>
      <c r="V173" s="219">
        <f ca="1">IF(Tabela_Movimentacao[[#This Row],[Status]]="Cancelado","",IF(Tabela_Movimentacao[[#This Row],[Status]]&lt;&gt;"Pago","",Tabela_Movimentacao[[#This Row],[Valor]]))</f>
        <v>521.07000000000005</v>
      </c>
    </row>
    <row r="174" spans="1:22" ht="35.5" hidden="1" customHeight="1" x14ac:dyDescent="0.35">
      <c r="A174" s="222" t="str">
        <f t="shared" si="8"/>
        <v>E164</v>
      </c>
      <c r="B174" s="223" t="str">
        <f t="shared" si="7"/>
        <v>FILE</v>
      </c>
      <c r="C174" s="224" t="s">
        <v>56</v>
      </c>
      <c r="D174" s="225" t="s">
        <v>49</v>
      </c>
      <c r="E174" s="226" t="s">
        <v>48</v>
      </c>
      <c r="F174" s="227" t="s">
        <v>300</v>
      </c>
      <c r="G174" s="228">
        <v>44185</v>
      </c>
      <c r="H174" s="229" t="s">
        <v>64</v>
      </c>
      <c r="I174" s="225" t="s">
        <v>329</v>
      </c>
      <c r="J174" s="225" t="s">
        <v>327</v>
      </c>
      <c r="K174" s="230">
        <v>2495.9900000000016</v>
      </c>
      <c r="L174" s="228">
        <v>44189</v>
      </c>
      <c r="M174" s="229" t="s">
        <v>47</v>
      </c>
      <c r="N174" s="229"/>
      <c r="O174" s="228"/>
      <c r="P174" s="228">
        <v>44189</v>
      </c>
      <c r="Q17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7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-2495.9900000000016</v>
      </c>
      <c r="U174" s="235">
        <f ca="1">IF(OR(Tabela_Movimentacao[[#This Row],[Status]]="Em Aberto",Tabela_Movimentacao[[#This Row],[Status]]="Prorrogado"),Tabela_Movimentacao[[#This Row],[Valor]],0)</f>
        <v>0</v>
      </c>
      <c r="V174" s="219">
        <f ca="1">IF(Tabela_Movimentacao[[#This Row],[Status]]="Cancelado","",IF(Tabela_Movimentacao[[#This Row],[Status]]&lt;&gt;"Pago","",Tabela_Movimentacao[[#This Row],[Valor]]))</f>
        <v>2495.9900000000016</v>
      </c>
    </row>
    <row r="175" spans="1:22" ht="35.5" hidden="1" customHeight="1" x14ac:dyDescent="0.35">
      <c r="A175" s="222" t="str">
        <f t="shared" si="8"/>
        <v>E165</v>
      </c>
      <c r="B175" s="223" t="str">
        <f t="shared" si="7"/>
        <v>FILE</v>
      </c>
      <c r="C175" s="224" t="s">
        <v>62</v>
      </c>
      <c r="D175" s="225" t="s">
        <v>104</v>
      </c>
      <c r="E175" s="226" t="s">
        <v>59</v>
      </c>
      <c r="F175" s="227" t="s">
        <v>325</v>
      </c>
      <c r="G175" s="228">
        <v>44181</v>
      </c>
      <c r="H175" s="229" t="s">
        <v>64</v>
      </c>
      <c r="I175" s="225" t="s">
        <v>222</v>
      </c>
      <c r="J175" s="225" t="s">
        <v>327</v>
      </c>
      <c r="K175" s="230">
        <v>2835</v>
      </c>
      <c r="L175" s="228">
        <v>44181</v>
      </c>
      <c r="M175" s="229" t="s">
        <v>44</v>
      </c>
      <c r="N175" s="229"/>
      <c r="O175" s="228"/>
      <c r="P175" s="228">
        <v>44181</v>
      </c>
      <c r="Q17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44181</v>
      </c>
      <c r="S17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2835</v>
      </c>
      <c r="U175" s="235">
        <f ca="1">IF(OR(Tabela_Movimentacao[[#This Row],[Status]]="Em Aberto",Tabela_Movimentacao[[#This Row],[Status]]="Prorrogado"),Tabela_Movimentacao[[#This Row],[Valor]],0)</f>
        <v>0</v>
      </c>
      <c r="V175" s="219">
        <f ca="1">IF(Tabela_Movimentacao[[#This Row],[Status]]="Cancelado","",IF(Tabela_Movimentacao[[#This Row],[Status]]&lt;&gt;"Pago","",Tabela_Movimentacao[[#This Row],[Valor]]))</f>
        <v>2835</v>
      </c>
    </row>
    <row r="176" spans="1:22" ht="35.5" hidden="1" customHeight="1" x14ac:dyDescent="0.35">
      <c r="A176" s="222" t="str">
        <f t="shared" si="8"/>
        <v>E166</v>
      </c>
      <c r="B176" s="223" t="str">
        <f t="shared" si="7"/>
        <v>FILE</v>
      </c>
      <c r="C176" s="224" t="s">
        <v>56</v>
      </c>
      <c r="D176" s="225" t="s">
        <v>49</v>
      </c>
      <c r="E176" s="226" t="s">
        <v>48</v>
      </c>
      <c r="F176" s="227" t="s">
        <v>325</v>
      </c>
      <c r="G176" s="228">
        <v>44181</v>
      </c>
      <c r="H176" s="229" t="s">
        <v>64</v>
      </c>
      <c r="I176" s="225" t="s">
        <v>293</v>
      </c>
      <c r="J176" s="225" t="s">
        <v>327</v>
      </c>
      <c r="K176" s="230">
        <v>2835</v>
      </c>
      <c r="L176" s="228">
        <v>44181</v>
      </c>
      <c r="M176" s="229" t="s">
        <v>44</v>
      </c>
      <c r="N176" s="229"/>
      <c r="O176" s="228"/>
      <c r="P176" s="228">
        <v>44181</v>
      </c>
      <c r="Q17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44181</v>
      </c>
      <c r="S17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-2835</v>
      </c>
      <c r="U176" s="235">
        <f ca="1">IF(OR(Tabela_Movimentacao[[#This Row],[Status]]="Em Aberto",Tabela_Movimentacao[[#This Row],[Status]]="Prorrogado"),Tabela_Movimentacao[[#This Row],[Valor]],0)</f>
        <v>0</v>
      </c>
      <c r="V176" s="219">
        <f ca="1">IF(Tabela_Movimentacao[[#This Row],[Status]]="Cancelado","",IF(Tabela_Movimentacao[[#This Row],[Status]]&lt;&gt;"Pago","",Tabela_Movimentacao[[#This Row],[Valor]]))</f>
        <v>2835</v>
      </c>
    </row>
    <row r="177" spans="1:22" ht="35.5" hidden="1" customHeight="1" x14ac:dyDescent="0.35">
      <c r="A177" s="222" t="str">
        <f>"E"&amp;ROW()-10</f>
        <v>E167</v>
      </c>
      <c r="B177" s="223" t="str">
        <f t="shared" si="7"/>
        <v>FILE</v>
      </c>
      <c r="C177" s="224" t="s">
        <v>62</v>
      </c>
      <c r="D177" s="225" t="s">
        <v>104</v>
      </c>
      <c r="E177" s="226" t="s">
        <v>59</v>
      </c>
      <c r="F177" s="227" t="s">
        <v>359</v>
      </c>
      <c r="G177" s="228">
        <v>44186</v>
      </c>
      <c r="H177" s="229" t="s">
        <v>64</v>
      </c>
      <c r="I177" s="225" t="s">
        <v>222</v>
      </c>
      <c r="J177" s="225" t="s">
        <v>327</v>
      </c>
      <c r="K177" s="230">
        <v>150</v>
      </c>
      <c r="L177" s="228">
        <v>44186</v>
      </c>
      <c r="M177" s="229" t="s">
        <v>47</v>
      </c>
      <c r="N177" s="229"/>
      <c r="O177" s="228"/>
      <c r="P177" s="228">
        <v>44186</v>
      </c>
      <c r="Q17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44186</v>
      </c>
      <c r="S17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150</v>
      </c>
      <c r="U177" s="235">
        <f ca="1">IF(OR(Tabela_Movimentacao[[#This Row],[Status]]="Em Aberto",Tabela_Movimentacao[[#This Row],[Status]]="Prorrogado"),Tabela_Movimentacao[[#This Row],[Valor]],0)</f>
        <v>0</v>
      </c>
      <c r="V177" s="219">
        <f ca="1">IF(Tabela_Movimentacao[[#This Row],[Status]]="Cancelado","",IF(Tabela_Movimentacao[[#This Row],[Status]]&lt;&gt;"Pago","",Tabela_Movimentacao[[#This Row],[Valor]]))</f>
        <v>150</v>
      </c>
    </row>
    <row r="178" spans="1:22" ht="35.5" hidden="1" customHeight="1" x14ac:dyDescent="0.35">
      <c r="A178" s="222" t="str">
        <f>"E"&amp;ROW()-10</f>
        <v>E168</v>
      </c>
      <c r="B178" s="223" t="str">
        <f t="shared" si="7"/>
        <v>FILE</v>
      </c>
      <c r="C178" s="224" t="s">
        <v>56</v>
      </c>
      <c r="D178" s="225" t="s">
        <v>14</v>
      </c>
      <c r="E178" s="226" t="s">
        <v>27</v>
      </c>
      <c r="F178" s="227" t="s">
        <v>377</v>
      </c>
      <c r="G178" s="228">
        <v>44185</v>
      </c>
      <c r="H178" s="229" t="s">
        <v>64</v>
      </c>
      <c r="I178" s="225" t="s">
        <v>272</v>
      </c>
      <c r="J178" s="225" t="s">
        <v>327</v>
      </c>
      <c r="K178" s="230">
        <v>150</v>
      </c>
      <c r="L178" s="228">
        <v>44187</v>
      </c>
      <c r="M178" s="229" t="s">
        <v>105</v>
      </c>
      <c r="N178" s="229"/>
      <c r="O178" s="228"/>
      <c r="P178" s="228">
        <v>44187</v>
      </c>
      <c r="Q17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44187</v>
      </c>
      <c r="S17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7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-150</v>
      </c>
      <c r="U178" s="235">
        <f ca="1">IF(OR(Tabela_Movimentacao[[#This Row],[Status]]="Em Aberto",Tabela_Movimentacao[[#This Row],[Status]]="Prorrogado"),Tabela_Movimentacao[[#This Row],[Valor]],0)</f>
        <v>0</v>
      </c>
      <c r="V178" s="219">
        <f ca="1">IF(Tabela_Movimentacao[[#This Row],[Status]]="Cancelado","",IF(Tabela_Movimentacao[[#This Row],[Status]]&lt;&gt;"Pago","",Tabela_Movimentacao[[#This Row],[Valor]]))</f>
        <v>150</v>
      </c>
    </row>
    <row r="179" spans="1:22" ht="35.5" hidden="1" customHeight="1" x14ac:dyDescent="0.35">
      <c r="A179" s="222" t="str">
        <f t="shared" ref="A179:A187" si="9">"E"&amp;ROW()-10</f>
        <v>E169</v>
      </c>
      <c r="B179" s="223" t="str">
        <f t="shared" si="7"/>
        <v>FILE</v>
      </c>
      <c r="C179" s="224" t="s">
        <v>56</v>
      </c>
      <c r="D179" s="225" t="s">
        <v>14</v>
      </c>
      <c r="E179" s="226" t="s">
        <v>27</v>
      </c>
      <c r="F179" s="227" t="s">
        <v>361</v>
      </c>
      <c r="G179" s="228">
        <v>44185</v>
      </c>
      <c r="H179" s="229" t="s">
        <v>64</v>
      </c>
      <c r="I179" s="225" t="s">
        <v>272</v>
      </c>
      <c r="J179" s="225" t="s">
        <v>327</v>
      </c>
      <c r="K179" s="230">
        <v>190</v>
      </c>
      <c r="L179" s="228">
        <v>44199</v>
      </c>
      <c r="M179" s="229" t="s">
        <v>105</v>
      </c>
      <c r="N179" s="229"/>
      <c r="O179" s="228"/>
      <c r="P179" s="228">
        <v>44211</v>
      </c>
      <c r="Q17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7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17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17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</v>
      </c>
      <c r="U179" s="235">
        <f ca="1">IF(OR(Tabela_Movimentacao[[#This Row],[Status]]="Em Aberto",Tabela_Movimentacao[[#This Row],[Status]]="Prorrogado"),Tabela_Movimentacao[[#This Row],[Valor]],0)</f>
        <v>0</v>
      </c>
      <c r="V179" s="219">
        <f ca="1">IF(Tabela_Movimentacao[[#This Row],[Status]]="Cancelado","",IF(Tabela_Movimentacao[[#This Row],[Status]]&lt;&gt;"Pago","",Tabela_Movimentacao[[#This Row],[Valor]]))</f>
        <v>190</v>
      </c>
    </row>
    <row r="180" spans="1:22" ht="35.5" hidden="1" customHeight="1" x14ac:dyDescent="0.35">
      <c r="A180" s="222" t="str">
        <f t="shared" si="9"/>
        <v>E170</v>
      </c>
      <c r="B180" s="223" t="str">
        <f t="shared" si="7"/>
        <v>FILE</v>
      </c>
      <c r="C180" s="224" t="s">
        <v>56</v>
      </c>
      <c r="D180" s="225" t="s">
        <v>14</v>
      </c>
      <c r="E180" s="226" t="s">
        <v>27</v>
      </c>
      <c r="F180" s="227" t="s">
        <v>362</v>
      </c>
      <c r="G180" s="228">
        <v>44185</v>
      </c>
      <c r="H180" s="229" t="s">
        <v>64</v>
      </c>
      <c r="I180" s="225" t="s">
        <v>272</v>
      </c>
      <c r="J180" s="225" t="s">
        <v>327</v>
      </c>
      <c r="K180" s="230">
        <v>190</v>
      </c>
      <c r="L180" s="228">
        <v>44230</v>
      </c>
      <c r="M180" s="229" t="s">
        <v>105</v>
      </c>
      <c r="N180" s="229"/>
      <c r="O180" s="228"/>
      <c r="P180" s="228">
        <v>44258</v>
      </c>
      <c r="Q18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8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18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18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</v>
      </c>
      <c r="U180" s="235">
        <f ca="1">IF(OR(Tabela_Movimentacao[[#This Row],[Status]]="Em Aberto",Tabela_Movimentacao[[#This Row],[Status]]="Prorrogado"),Tabela_Movimentacao[[#This Row],[Valor]],0)</f>
        <v>0</v>
      </c>
      <c r="V180" s="219">
        <f ca="1">IF(Tabela_Movimentacao[[#This Row],[Status]]="Cancelado","",IF(Tabela_Movimentacao[[#This Row],[Status]]&lt;&gt;"Pago","",Tabela_Movimentacao[[#This Row],[Valor]]))</f>
        <v>190</v>
      </c>
    </row>
    <row r="181" spans="1:22" ht="35.5" hidden="1" customHeight="1" x14ac:dyDescent="0.35">
      <c r="A181" s="222" t="str">
        <f t="shared" si="9"/>
        <v>E171</v>
      </c>
      <c r="B181" s="223" t="str">
        <f t="shared" si="7"/>
        <v>FILE</v>
      </c>
      <c r="C181" s="224" t="s">
        <v>56</v>
      </c>
      <c r="D181" s="225" t="s">
        <v>14</v>
      </c>
      <c r="E181" s="226" t="s">
        <v>27</v>
      </c>
      <c r="F181" s="227" t="s">
        <v>363</v>
      </c>
      <c r="G181" s="228">
        <v>44185</v>
      </c>
      <c r="H181" s="229" t="s">
        <v>64</v>
      </c>
      <c r="I181" s="225" t="s">
        <v>272</v>
      </c>
      <c r="J181" s="225" t="s">
        <v>327</v>
      </c>
      <c r="K181" s="230">
        <v>190</v>
      </c>
      <c r="L181" s="228">
        <v>44258</v>
      </c>
      <c r="M181" s="229" t="s">
        <v>105</v>
      </c>
      <c r="N181" s="229"/>
      <c r="O181" s="228"/>
      <c r="P181" s="228">
        <v>44258</v>
      </c>
      <c r="Q18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8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44258</v>
      </c>
      <c r="S18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18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</v>
      </c>
      <c r="U181" s="235">
        <f ca="1">IF(OR(Tabela_Movimentacao[[#This Row],[Status]]="Em Aberto",Tabela_Movimentacao[[#This Row],[Status]]="Prorrogado"),Tabela_Movimentacao[[#This Row],[Valor]],0)</f>
        <v>0</v>
      </c>
      <c r="V181" s="219">
        <f ca="1">IF(Tabela_Movimentacao[[#This Row],[Status]]="Cancelado","",IF(Tabela_Movimentacao[[#This Row],[Status]]&lt;&gt;"Pago","",Tabela_Movimentacao[[#This Row],[Valor]]))</f>
        <v>190</v>
      </c>
    </row>
    <row r="182" spans="1:22" ht="35.5" hidden="1" customHeight="1" x14ac:dyDescent="0.35">
      <c r="A182" s="222" t="str">
        <f t="shared" si="9"/>
        <v>E172</v>
      </c>
      <c r="B182" s="223" t="str">
        <f t="shared" si="7"/>
        <v>FILE</v>
      </c>
      <c r="C182" s="224" t="s">
        <v>56</v>
      </c>
      <c r="D182" s="225" t="s">
        <v>14</v>
      </c>
      <c r="E182" s="226" t="s">
        <v>27</v>
      </c>
      <c r="F182" s="227" t="s">
        <v>364</v>
      </c>
      <c r="G182" s="228">
        <v>44185</v>
      </c>
      <c r="H182" s="229" t="s">
        <v>64</v>
      </c>
      <c r="I182" s="225" t="s">
        <v>272</v>
      </c>
      <c r="J182" s="225" t="s">
        <v>327</v>
      </c>
      <c r="K182" s="230">
        <v>190</v>
      </c>
      <c r="L182" s="228">
        <v>44289</v>
      </c>
      <c r="M182" s="229" t="s">
        <v>105</v>
      </c>
      <c r="N182" s="229"/>
      <c r="O182" s="228"/>
      <c r="P182" s="228">
        <v>44302</v>
      </c>
      <c r="Q18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8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44291</v>
      </c>
      <c r="S18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18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</v>
      </c>
      <c r="U182" s="235">
        <f ca="1">IF(OR(Tabela_Movimentacao[[#This Row],[Status]]="Em Aberto",Tabela_Movimentacao[[#This Row],[Status]]="Prorrogado"),Tabela_Movimentacao[[#This Row],[Valor]],0)</f>
        <v>0</v>
      </c>
      <c r="V182" s="219">
        <f ca="1">IF(Tabela_Movimentacao[[#This Row],[Status]]="Cancelado","",IF(Tabela_Movimentacao[[#This Row],[Status]]&lt;&gt;"Pago","",Tabela_Movimentacao[[#This Row],[Valor]]))</f>
        <v>190</v>
      </c>
    </row>
    <row r="183" spans="1:22" ht="35.5" customHeight="1" x14ac:dyDescent="0.35">
      <c r="A183" s="222" t="str">
        <f t="shared" si="9"/>
        <v>E173</v>
      </c>
      <c r="B183" s="223" t="str">
        <f t="shared" si="7"/>
        <v>FILE</v>
      </c>
      <c r="C183" s="224" t="s">
        <v>56</v>
      </c>
      <c r="D183" s="225" t="s">
        <v>14</v>
      </c>
      <c r="E183" s="226" t="s">
        <v>27</v>
      </c>
      <c r="F183" s="227" t="s">
        <v>365</v>
      </c>
      <c r="G183" s="228">
        <v>44185</v>
      </c>
      <c r="H183" s="229" t="s">
        <v>64</v>
      </c>
      <c r="I183" s="225" t="s">
        <v>272</v>
      </c>
      <c r="J183" s="225" t="s">
        <v>327</v>
      </c>
      <c r="K183" s="230">
        <v>190</v>
      </c>
      <c r="L183" s="228">
        <v>44319</v>
      </c>
      <c r="M183" s="229" t="s">
        <v>105</v>
      </c>
      <c r="N183" s="229"/>
      <c r="O183" s="228"/>
      <c r="P183" s="228">
        <v>44342</v>
      </c>
      <c r="Q18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8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44319</v>
      </c>
      <c r="S18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18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-190</v>
      </c>
      <c r="U183" s="235">
        <f ca="1">IF(OR(Tabela_Movimentacao[[#This Row],[Status]]="Em Aberto",Tabela_Movimentacao[[#This Row],[Status]]="Prorrogado"),Tabela_Movimentacao[[#This Row],[Valor]],0)</f>
        <v>0</v>
      </c>
      <c r="V183" s="219">
        <f ca="1">IF(Tabela_Movimentacao[[#This Row],[Status]]="Cancelado","",IF(Tabela_Movimentacao[[#This Row],[Status]]&lt;&gt;"Pago","",Tabela_Movimentacao[[#This Row],[Valor]]))</f>
        <v>190</v>
      </c>
    </row>
    <row r="184" spans="1:22" ht="35.5" hidden="1" customHeight="1" x14ac:dyDescent="0.35">
      <c r="A184" s="222" t="str">
        <f t="shared" si="9"/>
        <v>E174</v>
      </c>
      <c r="B184" s="222" t="str">
        <f t="shared" si="7"/>
        <v>FILE</v>
      </c>
      <c r="C184" s="224" t="s">
        <v>56</v>
      </c>
      <c r="D184" s="225" t="s">
        <v>14</v>
      </c>
      <c r="E184" s="226" t="s">
        <v>27</v>
      </c>
      <c r="F184" s="227" t="s">
        <v>366</v>
      </c>
      <c r="G184" s="228">
        <v>44185</v>
      </c>
      <c r="H184" s="229"/>
      <c r="I184" s="225" t="s">
        <v>272</v>
      </c>
      <c r="J184" s="225" t="s">
        <v>327</v>
      </c>
      <c r="K184" s="230">
        <v>190</v>
      </c>
      <c r="L184" s="228">
        <v>44350</v>
      </c>
      <c r="M184" s="229" t="s">
        <v>105</v>
      </c>
      <c r="N184" s="229"/>
      <c r="O184" s="228"/>
      <c r="P184" s="228"/>
      <c r="Q18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Vencido</v>
      </c>
      <c r="R18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44350</v>
      </c>
      <c r="S184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4" s="235">
        <f ca="1">IF(OR(Tabela_Movimentacao[[#This Row],[Status]]="Em Aberto",Tabela_Movimentacao[[#This Row],[Status]]="Prorrogado"),Tabela_Movimentacao[[#This Row],[Valor]],0)</f>
        <v>0</v>
      </c>
      <c r="V184" s="219" t="str">
        <f ca="1">IF(Tabela_Movimentacao[[#This Row],[Status]]="Cancelado","",IF(Tabela_Movimentacao[[#This Row],[Status]]&lt;&gt;"Pago","",Tabela_Movimentacao[[#This Row],[Valor]]))</f>
        <v/>
      </c>
    </row>
    <row r="185" spans="1:22" ht="35.5" hidden="1" customHeight="1" x14ac:dyDescent="0.35">
      <c r="A185" s="222" t="str">
        <f t="shared" si="9"/>
        <v>E175</v>
      </c>
      <c r="B185" s="222" t="str">
        <f t="shared" si="7"/>
        <v>FILE</v>
      </c>
      <c r="C185" s="224" t="s">
        <v>56</v>
      </c>
      <c r="D185" s="225" t="s">
        <v>14</v>
      </c>
      <c r="E185" s="226" t="s">
        <v>27</v>
      </c>
      <c r="F185" s="227" t="s">
        <v>367</v>
      </c>
      <c r="G185" s="228">
        <v>44185</v>
      </c>
      <c r="H185" s="229"/>
      <c r="I185" s="225" t="s">
        <v>272</v>
      </c>
      <c r="J185" s="225" t="s">
        <v>327</v>
      </c>
      <c r="K185" s="230">
        <v>190</v>
      </c>
      <c r="L185" s="228">
        <v>44380</v>
      </c>
      <c r="M185" s="229" t="s">
        <v>105</v>
      </c>
      <c r="N185" s="229"/>
      <c r="O185" s="228"/>
      <c r="P185" s="228"/>
      <c r="Q18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8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44382</v>
      </c>
      <c r="S185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5" s="235">
        <f ca="1">IF(OR(Tabela_Movimentacao[[#This Row],[Status]]="Em Aberto",Tabela_Movimentacao[[#This Row],[Status]]="Prorrogado"),Tabela_Movimentacao[[#This Row],[Valor]],0)</f>
        <v>190</v>
      </c>
      <c r="V185" s="219" t="str">
        <f ca="1">IF(Tabela_Movimentacao[[#This Row],[Status]]="Cancelado","",IF(Tabela_Movimentacao[[#This Row],[Status]]&lt;&gt;"Pago","",Tabela_Movimentacao[[#This Row],[Valor]]))</f>
        <v/>
      </c>
    </row>
    <row r="186" spans="1:22" ht="35.5" hidden="1" customHeight="1" x14ac:dyDescent="0.35">
      <c r="A186" s="222" t="str">
        <f t="shared" si="9"/>
        <v>E176</v>
      </c>
      <c r="B186" s="222" t="str">
        <f t="shared" si="7"/>
        <v>FILE</v>
      </c>
      <c r="C186" s="224" t="s">
        <v>56</v>
      </c>
      <c r="D186" s="225" t="s">
        <v>14</v>
      </c>
      <c r="E186" s="226" t="s">
        <v>27</v>
      </c>
      <c r="F186" s="227" t="s">
        <v>368</v>
      </c>
      <c r="G186" s="228">
        <v>44185</v>
      </c>
      <c r="H186" s="229"/>
      <c r="I186" s="225" t="s">
        <v>272</v>
      </c>
      <c r="J186" s="225" t="s">
        <v>327</v>
      </c>
      <c r="K186" s="230">
        <v>190</v>
      </c>
      <c r="L186" s="228">
        <v>44411</v>
      </c>
      <c r="M186" s="229" t="s">
        <v>105</v>
      </c>
      <c r="N186" s="229"/>
      <c r="O186" s="228"/>
      <c r="P186" s="228"/>
      <c r="Q18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8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44411</v>
      </c>
      <c r="S186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6" s="235">
        <f ca="1">IF(OR(Tabela_Movimentacao[[#This Row],[Status]]="Em Aberto",Tabela_Movimentacao[[#This Row],[Status]]="Prorrogado"),Tabela_Movimentacao[[#This Row],[Valor]],0)</f>
        <v>190</v>
      </c>
      <c r="V186" s="219" t="str">
        <f ca="1">IF(Tabela_Movimentacao[[#This Row],[Status]]="Cancelado","",IF(Tabela_Movimentacao[[#This Row],[Status]]&lt;&gt;"Pago","",Tabela_Movimentacao[[#This Row],[Valor]]))</f>
        <v/>
      </c>
    </row>
    <row r="187" spans="1:22" ht="35.5" hidden="1" customHeight="1" x14ac:dyDescent="0.35">
      <c r="A187" s="222" t="str">
        <f t="shared" si="9"/>
        <v>E177</v>
      </c>
      <c r="B187" s="222" t="str">
        <f t="shared" si="7"/>
        <v>FILE</v>
      </c>
      <c r="C187" s="224" t="s">
        <v>56</v>
      </c>
      <c r="D187" s="225" t="s">
        <v>14</v>
      </c>
      <c r="E187" s="226" t="s">
        <v>27</v>
      </c>
      <c r="F187" s="227" t="s">
        <v>369</v>
      </c>
      <c r="G187" s="228">
        <v>44185</v>
      </c>
      <c r="H187" s="229"/>
      <c r="I187" s="225" t="s">
        <v>272</v>
      </c>
      <c r="J187" s="225" t="s">
        <v>327</v>
      </c>
      <c r="K187" s="230">
        <v>190</v>
      </c>
      <c r="L187" s="228">
        <v>44442</v>
      </c>
      <c r="M187" s="229" t="s">
        <v>105</v>
      </c>
      <c r="N187" s="229"/>
      <c r="O187" s="228"/>
      <c r="P187" s="228"/>
      <c r="Q18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8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44442</v>
      </c>
      <c r="S187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7" s="235">
        <f ca="1">IF(OR(Tabela_Movimentacao[[#This Row],[Status]]="Em Aberto",Tabela_Movimentacao[[#This Row],[Status]]="Prorrogado"),Tabela_Movimentacao[[#This Row],[Valor]],0)</f>
        <v>190</v>
      </c>
      <c r="V187" s="219" t="str">
        <f ca="1">IF(Tabela_Movimentacao[[#This Row],[Status]]="Cancelado","",IF(Tabela_Movimentacao[[#This Row],[Status]]&lt;&gt;"Pago","",Tabela_Movimentacao[[#This Row],[Valor]]))</f>
        <v/>
      </c>
    </row>
    <row r="188" spans="1:22" ht="35.5" hidden="1" customHeight="1" x14ac:dyDescent="0.35">
      <c r="A188" s="222" t="str">
        <f t="shared" ref="A188:A193" si="10">"E"&amp;ROW()-10</f>
        <v>E178</v>
      </c>
      <c r="B188" s="222" t="str">
        <f t="shared" si="7"/>
        <v>FILE</v>
      </c>
      <c r="C188" s="224" t="s">
        <v>56</v>
      </c>
      <c r="D188" s="225" t="s">
        <v>14</v>
      </c>
      <c r="E188" s="226" t="s">
        <v>27</v>
      </c>
      <c r="F188" s="227" t="s">
        <v>370</v>
      </c>
      <c r="G188" s="228">
        <v>44185</v>
      </c>
      <c r="H188" s="229"/>
      <c r="I188" s="225" t="s">
        <v>272</v>
      </c>
      <c r="J188" s="225" t="s">
        <v>327</v>
      </c>
      <c r="K188" s="230">
        <v>190</v>
      </c>
      <c r="L188" s="228">
        <v>44472</v>
      </c>
      <c r="M188" s="229" t="s">
        <v>105</v>
      </c>
      <c r="N188" s="229"/>
      <c r="O188" s="228"/>
      <c r="P188" s="228"/>
      <c r="Q18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8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44473</v>
      </c>
      <c r="S188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8" s="235">
        <f ca="1">IF(OR(Tabela_Movimentacao[[#This Row],[Status]]="Em Aberto",Tabela_Movimentacao[[#This Row],[Status]]="Prorrogado"),Tabela_Movimentacao[[#This Row],[Valor]],0)</f>
        <v>190</v>
      </c>
      <c r="V188" s="219" t="str">
        <f ca="1">IF(Tabela_Movimentacao[[#This Row],[Status]]="Cancelado","",IF(Tabela_Movimentacao[[#This Row],[Status]]&lt;&gt;"Pago","",Tabela_Movimentacao[[#This Row],[Valor]]))</f>
        <v/>
      </c>
    </row>
    <row r="189" spans="1:22" ht="35.5" hidden="1" customHeight="1" x14ac:dyDescent="0.35">
      <c r="A189" s="222" t="str">
        <f t="shared" si="10"/>
        <v>E179</v>
      </c>
      <c r="B189" s="222" t="str">
        <f t="shared" si="7"/>
        <v>FILE</v>
      </c>
      <c r="C189" s="224" t="s">
        <v>56</v>
      </c>
      <c r="D189" s="225" t="s">
        <v>14</v>
      </c>
      <c r="E189" s="226" t="s">
        <v>27</v>
      </c>
      <c r="F189" s="227" t="s">
        <v>371</v>
      </c>
      <c r="G189" s="228">
        <v>44185</v>
      </c>
      <c r="H189" s="229"/>
      <c r="I189" s="225" t="s">
        <v>272</v>
      </c>
      <c r="J189" s="225" t="s">
        <v>327</v>
      </c>
      <c r="K189" s="230">
        <v>190</v>
      </c>
      <c r="L189" s="228">
        <v>44503</v>
      </c>
      <c r="M189" s="229" t="s">
        <v>105</v>
      </c>
      <c r="N189" s="229"/>
      <c r="O189" s="228"/>
      <c r="P189" s="228"/>
      <c r="Q18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8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44503</v>
      </c>
      <c r="S189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8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89" s="235">
        <f ca="1">IF(OR(Tabela_Movimentacao[[#This Row],[Status]]="Em Aberto",Tabela_Movimentacao[[#This Row],[Status]]="Prorrogado"),Tabela_Movimentacao[[#This Row],[Valor]],0)</f>
        <v>190</v>
      </c>
      <c r="V189" s="219" t="str">
        <f ca="1">IF(Tabela_Movimentacao[[#This Row],[Status]]="Cancelado","",IF(Tabela_Movimentacao[[#This Row],[Status]]&lt;&gt;"Pago","",Tabela_Movimentacao[[#This Row],[Valor]]))</f>
        <v/>
      </c>
    </row>
    <row r="190" spans="1:22" ht="35.5" hidden="1" customHeight="1" x14ac:dyDescent="0.35">
      <c r="A190" s="222" t="str">
        <f t="shared" si="10"/>
        <v>E180</v>
      </c>
      <c r="B190" s="222" t="str">
        <f t="shared" si="7"/>
        <v>FILE</v>
      </c>
      <c r="C190" s="224" t="s">
        <v>56</v>
      </c>
      <c r="D190" s="225" t="s">
        <v>14</v>
      </c>
      <c r="E190" s="226" t="s">
        <v>27</v>
      </c>
      <c r="F190" s="227" t="s">
        <v>372</v>
      </c>
      <c r="G190" s="228">
        <v>44185</v>
      </c>
      <c r="H190" s="229"/>
      <c r="I190" s="225" t="s">
        <v>272</v>
      </c>
      <c r="J190" s="225" t="s">
        <v>327</v>
      </c>
      <c r="K190" s="230">
        <v>190</v>
      </c>
      <c r="L190" s="228">
        <v>44533</v>
      </c>
      <c r="M190" s="229" t="s">
        <v>105</v>
      </c>
      <c r="N190" s="229"/>
      <c r="O190" s="228"/>
      <c r="P190" s="228"/>
      <c r="Q19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Em Aberto</v>
      </c>
      <c r="R19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44533</v>
      </c>
      <c r="S190" s="233" t="str">
        <f>IF(DATE(YEAR(Tabela_Movimentacao[[#This Row],[Pagamento]]),MONTH(Tabela_Movimentacao[[#This Row],[Pagamento]]),1)=1,"Provisionado",DATE(YEAR(Tabela_Movimentacao[[#This Row],[Pagamento]]),MONTH(Tabela_Movimentacao[[#This Row],[Pagamento]]),1))</f>
        <v>Provisionado</v>
      </c>
      <c r="T19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0</v>
      </c>
      <c r="U190" s="235">
        <f ca="1">IF(OR(Tabela_Movimentacao[[#This Row],[Status]]="Em Aberto",Tabela_Movimentacao[[#This Row],[Status]]="Prorrogado"),Tabela_Movimentacao[[#This Row],[Valor]],0)</f>
        <v>190</v>
      </c>
      <c r="V190" s="219" t="str">
        <f ca="1">IF(Tabela_Movimentacao[[#This Row],[Status]]="Cancelado","",IF(Tabela_Movimentacao[[#This Row],[Status]]&lt;&gt;"Pago","",Tabela_Movimentacao[[#This Row],[Valor]]))</f>
        <v/>
      </c>
    </row>
    <row r="191" spans="1:22" ht="35.5" hidden="1" customHeight="1" x14ac:dyDescent="0.35">
      <c r="A191" s="222" t="str">
        <f t="shared" si="10"/>
        <v>E181</v>
      </c>
      <c r="B191" s="223" t="str">
        <f t="shared" si="7"/>
        <v>FILE</v>
      </c>
      <c r="C191" s="224" t="s">
        <v>62</v>
      </c>
      <c r="D191" s="225" t="s">
        <v>104</v>
      </c>
      <c r="E191" s="226" t="s">
        <v>59</v>
      </c>
      <c r="F191" s="227" t="s">
        <v>377</v>
      </c>
      <c r="G191" s="228">
        <v>44187</v>
      </c>
      <c r="H191" s="229" t="s">
        <v>64</v>
      </c>
      <c r="I191" s="225" t="s">
        <v>222</v>
      </c>
      <c r="J191" s="225" t="s">
        <v>327</v>
      </c>
      <c r="K191" s="230">
        <v>150</v>
      </c>
      <c r="L191" s="228">
        <v>44187</v>
      </c>
      <c r="M191" s="229" t="s">
        <v>105</v>
      </c>
      <c r="N191" s="229"/>
      <c r="O191" s="228"/>
      <c r="P191" s="228">
        <v>44187</v>
      </c>
      <c r="Q19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44187</v>
      </c>
      <c r="S19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150</v>
      </c>
      <c r="U191" s="235">
        <f ca="1">IF(OR(Tabela_Movimentacao[[#This Row],[Status]]="Em Aberto",Tabela_Movimentacao[[#This Row],[Status]]="Prorrogado"),Tabela_Movimentacao[[#This Row],[Valor]],0)</f>
        <v>0</v>
      </c>
      <c r="V191" s="219">
        <f ca="1">IF(Tabela_Movimentacao[[#This Row],[Status]]="Cancelado","",IF(Tabela_Movimentacao[[#This Row],[Status]]&lt;&gt;"Pago","",Tabela_Movimentacao[[#This Row],[Valor]]))</f>
        <v>150</v>
      </c>
    </row>
    <row r="192" spans="1:22" ht="35.5" hidden="1" customHeight="1" x14ac:dyDescent="0.35">
      <c r="A192" s="222" t="str">
        <f t="shared" si="10"/>
        <v>E182</v>
      </c>
      <c r="B192" s="223" t="str">
        <f t="shared" si="7"/>
        <v>FILE</v>
      </c>
      <c r="C192" s="224" t="s">
        <v>62</v>
      </c>
      <c r="D192" s="225" t="s">
        <v>104</v>
      </c>
      <c r="E192" s="226" t="s">
        <v>59</v>
      </c>
      <c r="F192" s="227" t="s">
        <v>378</v>
      </c>
      <c r="G192" s="228">
        <v>44189</v>
      </c>
      <c r="H192" s="229" t="s">
        <v>64</v>
      </c>
      <c r="I192" s="225" t="s">
        <v>222</v>
      </c>
      <c r="J192" s="225" t="s">
        <v>327</v>
      </c>
      <c r="K192" s="230">
        <v>8000</v>
      </c>
      <c r="L192" s="228">
        <v>44189</v>
      </c>
      <c r="M192" s="229" t="s">
        <v>47</v>
      </c>
      <c r="N192" s="229"/>
      <c r="O192" s="228"/>
      <c r="P192" s="228">
        <v>44189</v>
      </c>
      <c r="Q19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9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8000</v>
      </c>
      <c r="U192" s="235">
        <f ca="1">IF(OR(Tabela_Movimentacao[[#This Row],[Status]]="Em Aberto",Tabela_Movimentacao[[#This Row],[Status]]="Prorrogado"),Tabela_Movimentacao[[#This Row],[Valor]],0)</f>
        <v>0</v>
      </c>
      <c r="V192" s="219">
        <f ca="1">IF(Tabela_Movimentacao[[#This Row],[Status]]="Cancelado","",IF(Tabela_Movimentacao[[#This Row],[Status]]&lt;&gt;"Pago","",Tabela_Movimentacao[[#This Row],[Valor]]))</f>
        <v>8000</v>
      </c>
    </row>
    <row r="193" spans="1:22" ht="35.5" hidden="1" customHeight="1" x14ac:dyDescent="0.35">
      <c r="A193" s="222" t="str">
        <f t="shared" si="10"/>
        <v>E183</v>
      </c>
      <c r="B193" s="223" t="str">
        <f t="shared" si="7"/>
        <v>FILE</v>
      </c>
      <c r="C193" s="224" t="s">
        <v>56</v>
      </c>
      <c r="D193" s="225" t="s">
        <v>49</v>
      </c>
      <c r="E193" s="226" t="s">
        <v>48</v>
      </c>
      <c r="F193" s="227" t="s">
        <v>378</v>
      </c>
      <c r="G193" s="228">
        <v>44189</v>
      </c>
      <c r="H193" s="229" t="s">
        <v>64</v>
      </c>
      <c r="I193" s="225" t="s">
        <v>329</v>
      </c>
      <c r="J193" s="225" t="s">
        <v>327</v>
      </c>
      <c r="K193" s="230">
        <v>8000</v>
      </c>
      <c r="L193" s="228">
        <v>44189</v>
      </c>
      <c r="M193" s="229" t="s">
        <v>47</v>
      </c>
      <c r="N193" s="229"/>
      <c r="O193" s="228"/>
      <c r="P193" s="228">
        <v>44189</v>
      </c>
      <c r="Q19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9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-8000</v>
      </c>
      <c r="U193" s="235">
        <f ca="1">IF(OR(Tabela_Movimentacao[[#This Row],[Status]]="Em Aberto",Tabela_Movimentacao[[#This Row],[Status]]="Prorrogado"),Tabela_Movimentacao[[#This Row],[Valor]],0)</f>
        <v>0</v>
      </c>
      <c r="V193" s="219">
        <f ca="1">IF(Tabela_Movimentacao[[#This Row],[Status]]="Cancelado","",IF(Tabela_Movimentacao[[#This Row],[Status]]&lt;&gt;"Pago","",Tabela_Movimentacao[[#This Row],[Valor]]))</f>
        <v>8000</v>
      </c>
    </row>
    <row r="194" spans="1:22" ht="35.5" hidden="1" customHeight="1" x14ac:dyDescent="0.35">
      <c r="A194" s="222" t="str">
        <f t="shared" ref="A194:A195" si="11">"E"&amp;ROW()-10</f>
        <v>E184</v>
      </c>
      <c r="B194" s="223" t="str">
        <f t="shared" si="7"/>
        <v>FILE</v>
      </c>
      <c r="C194" s="224" t="s">
        <v>62</v>
      </c>
      <c r="D194" s="225" t="s">
        <v>104</v>
      </c>
      <c r="E194" s="226" t="s">
        <v>59</v>
      </c>
      <c r="F194" s="227" t="s">
        <v>378</v>
      </c>
      <c r="G194" s="228">
        <v>44187</v>
      </c>
      <c r="H194" s="229" t="s">
        <v>63</v>
      </c>
      <c r="I194" s="225" t="s">
        <v>222</v>
      </c>
      <c r="J194" s="225" t="s">
        <v>327</v>
      </c>
      <c r="K194" s="230">
        <v>4854.74</v>
      </c>
      <c r="L194" s="228">
        <v>44187</v>
      </c>
      <c r="M194" s="229" t="s">
        <v>47</v>
      </c>
      <c r="N194" s="229"/>
      <c r="O194" s="228"/>
      <c r="P194" s="228">
        <v>44187</v>
      </c>
      <c r="Q19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44187</v>
      </c>
      <c r="S19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4854.74</v>
      </c>
      <c r="U194" s="235">
        <f ca="1">IF(OR(Tabela_Movimentacao[[#This Row],[Status]]="Em Aberto",Tabela_Movimentacao[[#This Row],[Status]]="Prorrogado"),Tabela_Movimentacao[[#This Row],[Valor]],0)</f>
        <v>0</v>
      </c>
      <c r="V194" s="219">
        <f ca="1">IF(Tabela_Movimentacao[[#This Row],[Status]]="Cancelado","",IF(Tabela_Movimentacao[[#This Row],[Status]]&lt;&gt;"Pago","",Tabela_Movimentacao[[#This Row],[Valor]]))</f>
        <v>4854.74</v>
      </c>
    </row>
    <row r="195" spans="1:22" ht="35.5" hidden="1" customHeight="1" x14ac:dyDescent="0.35">
      <c r="A195" s="222" t="str">
        <f t="shared" si="11"/>
        <v>E185</v>
      </c>
      <c r="B195" s="223" t="str">
        <f t="shared" si="7"/>
        <v>FILE</v>
      </c>
      <c r="C195" s="224" t="s">
        <v>56</v>
      </c>
      <c r="D195" s="225" t="s">
        <v>49</v>
      </c>
      <c r="E195" s="226" t="s">
        <v>48</v>
      </c>
      <c r="F195" s="227" t="s">
        <v>378</v>
      </c>
      <c r="G195" s="228">
        <v>44187</v>
      </c>
      <c r="H195" s="229" t="s">
        <v>63</v>
      </c>
      <c r="I195" s="225" t="s">
        <v>329</v>
      </c>
      <c r="J195" s="225" t="s">
        <v>327</v>
      </c>
      <c r="K195" s="230">
        <v>4854.74</v>
      </c>
      <c r="L195" s="228">
        <v>44187</v>
      </c>
      <c r="M195" s="229" t="s">
        <v>47</v>
      </c>
      <c r="N195" s="229"/>
      <c r="O195" s="228"/>
      <c r="P195" s="228">
        <v>44187</v>
      </c>
      <c r="Q19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44187</v>
      </c>
      <c r="S19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-4854.74</v>
      </c>
      <c r="U195" s="235">
        <f ca="1">IF(OR(Tabela_Movimentacao[[#This Row],[Status]]="Em Aberto",Tabela_Movimentacao[[#This Row],[Status]]="Prorrogado"),Tabela_Movimentacao[[#This Row],[Valor]],0)</f>
        <v>0</v>
      </c>
      <c r="V195" s="219">
        <f ca="1">IF(Tabela_Movimentacao[[#This Row],[Status]]="Cancelado","",IF(Tabela_Movimentacao[[#This Row],[Status]]&lt;&gt;"Pago","",Tabela_Movimentacao[[#This Row],[Valor]]))</f>
        <v>4854.74</v>
      </c>
    </row>
    <row r="196" spans="1:22" ht="35.5" hidden="1" customHeight="1" x14ac:dyDescent="0.35">
      <c r="A196" s="222" t="str">
        <f t="shared" ref="A196:A197" si="12">"E"&amp;ROW()-10</f>
        <v>E186</v>
      </c>
      <c r="B196" s="223" t="str">
        <f t="shared" si="7"/>
        <v>FILE</v>
      </c>
      <c r="C196" s="224" t="s">
        <v>62</v>
      </c>
      <c r="D196" s="225" t="s">
        <v>104</v>
      </c>
      <c r="E196" s="226" t="s">
        <v>59</v>
      </c>
      <c r="F196" s="227" t="s">
        <v>378</v>
      </c>
      <c r="G196" s="228">
        <v>44189</v>
      </c>
      <c r="H196" s="229" t="s">
        <v>65</v>
      </c>
      <c r="I196" s="225" t="s">
        <v>222</v>
      </c>
      <c r="J196" s="225" t="s">
        <v>327</v>
      </c>
      <c r="K196" s="230">
        <v>4854.74</v>
      </c>
      <c r="L196" s="228">
        <v>44189</v>
      </c>
      <c r="M196" s="229" t="s">
        <v>47</v>
      </c>
      <c r="N196" s="229"/>
      <c r="O196" s="228"/>
      <c r="P196" s="228">
        <v>44189</v>
      </c>
      <c r="Q19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9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4854.74</v>
      </c>
      <c r="U196" s="235">
        <f ca="1">IF(OR(Tabela_Movimentacao[[#This Row],[Status]]="Em Aberto",Tabela_Movimentacao[[#This Row],[Status]]="Prorrogado"),Tabela_Movimentacao[[#This Row],[Valor]],0)</f>
        <v>0</v>
      </c>
      <c r="V196" s="219">
        <f ca="1">IF(Tabela_Movimentacao[[#This Row],[Status]]="Cancelado","",IF(Tabela_Movimentacao[[#This Row],[Status]]&lt;&gt;"Pago","",Tabela_Movimentacao[[#This Row],[Valor]]))</f>
        <v>4854.74</v>
      </c>
    </row>
    <row r="197" spans="1:22" ht="35.5" hidden="1" customHeight="1" x14ac:dyDescent="0.35">
      <c r="A197" s="222" t="str">
        <f t="shared" si="12"/>
        <v>E187</v>
      </c>
      <c r="B197" s="223" t="str">
        <f t="shared" si="7"/>
        <v>FILE</v>
      </c>
      <c r="C197" s="224" t="s">
        <v>56</v>
      </c>
      <c r="D197" s="225" t="s">
        <v>49</v>
      </c>
      <c r="E197" s="226" t="s">
        <v>48</v>
      </c>
      <c r="F197" s="227" t="s">
        <v>378</v>
      </c>
      <c r="G197" s="228">
        <v>44189</v>
      </c>
      <c r="H197" s="229" t="s">
        <v>65</v>
      </c>
      <c r="I197" s="225" t="s">
        <v>329</v>
      </c>
      <c r="J197" s="225" t="s">
        <v>327</v>
      </c>
      <c r="K197" s="230">
        <v>4854.74</v>
      </c>
      <c r="L197" s="228">
        <v>44189</v>
      </c>
      <c r="M197" s="229" t="s">
        <v>47</v>
      </c>
      <c r="N197" s="229"/>
      <c r="O197" s="228"/>
      <c r="P197" s="228">
        <v>44189</v>
      </c>
      <c r="Q19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44189</v>
      </c>
      <c r="S19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-4854.74</v>
      </c>
      <c r="U197" s="235">
        <f ca="1">IF(OR(Tabela_Movimentacao[[#This Row],[Status]]="Em Aberto",Tabela_Movimentacao[[#This Row],[Status]]="Prorrogado"),Tabela_Movimentacao[[#This Row],[Valor]],0)</f>
        <v>0</v>
      </c>
      <c r="V197" s="219">
        <f ca="1">IF(Tabela_Movimentacao[[#This Row],[Status]]="Cancelado","",IF(Tabela_Movimentacao[[#This Row],[Status]]&lt;&gt;"Pago","",Tabela_Movimentacao[[#This Row],[Valor]]))</f>
        <v>4854.74</v>
      </c>
    </row>
    <row r="198" spans="1:22" ht="35.5" hidden="1" customHeight="1" x14ac:dyDescent="0.35">
      <c r="A198" s="222" t="str">
        <f>"E"&amp;ROW()-10</f>
        <v>E188</v>
      </c>
      <c r="B198" s="223" t="str">
        <f t="shared" si="7"/>
        <v>FILE</v>
      </c>
      <c r="C198" s="224" t="s">
        <v>62</v>
      </c>
      <c r="D198" s="225" t="s">
        <v>104</v>
      </c>
      <c r="E198" s="226" t="s">
        <v>59</v>
      </c>
      <c r="F198" s="227" t="s">
        <v>379</v>
      </c>
      <c r="G198" s="228">
        <v>44193</v>
      </c>
      <c r="H198" s="229" t="s">
        <v>64</v>
      </c>
      <c r="I198" s="225" t="s">
        <v>222</v>
      </c>
      <c r="J198" s="225" t="s">
        <v>327</v>
      </c>
      <c r="K198" s="230">
        <v>112</v>
      </c>
      <c r="L198" s="228">
        <v>44193</v>
      </c>
      <c r="M198" s="229" t="s">
        <v>105</v>
      </c>
      <c r="N198" s="229"/>
      <c r="O198" s="228"/>
      <c r="P198" s="228">
        <v>44193</v>
      </c>
      <c r="Q19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44193</v>
      </c>
      <c r="S19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112</v>
      </c>
      <c r="U198" s="235">
        <f ca="1">IF(OR(Tabela_Movimentacao[[#This Row],[Status]]="Em Aberto",Tabela_Movimentacao[[#This Row],[Status]]="Prorrogado"),Tabela_Movimentacao[[#This Row],[Valor]],0)</f>
        <v>0</v>
      </c>
      <c r="V198" s="219">
        <f ca="1">IF(Tabela_Movimentacao[[#This Row],[Status]]="Cancelado","",IF(Tabela_Movimentacao[[#This Row],[Status]]&lt;&gt;"Pago","",Tabela_Movimentacao[[#This Row],[Valor]]))</f>
        <v>112</v>
      </c>
    </row>
    <row r="199" spans="1:22" ht="35.5" hidden="1" customHeight="1" x14ac:dyDescent="0.35">
      <c r="A199" s="222" t="str">
        <f>"E"&amp;ROW()-10</f>
        <v>E189</v>
      </c>
      <c r="B199" s="223" t="str">
        <f t="shared" si="7"/>
        <v>FILE</v>
      </c>
      <c r="C199" s="224" t="s">
        <v>56</v>
      </c>
      <c r="D199" s="225" t="s">
        <v>12</v>
      </c>
      <c r="E199" s="226" t="s">
        <v>55</v>
      </c>
      <c r="F199" s="227" t="s">
        <v>379</v>
      </c>
      <c r="G199" s="228">
        <v>44193</v>
      </c>
      <c r="H199" s="229" t="s">
        <v>64</v>
      </c>
      <c r="I199" s="225" t="s">
        <v>67</v>
      </c>
      <c r="J199" s="225" t="s">
        <v>327</v>
      </c>
      <c r="K199" s="230">
        <v>112</v>
      </c>
      <c r="L199" s="228">
        <v>44193</v>
      </c>
      <c r="M199" s="229" t="s">
        <v>105</v>
      </c>
      <c r="N199" s="229"/>
      <c r="O199" s="228"/>
      <c r="P199" s="228">
        <v>44193</v>
      </c>
      <c r="Q19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19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44193</v>
      </c>
      <c r="S19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19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-112</v>
      </c>
      <c r="U199" s="235">
        <f ca="1">IF(OR(Tabela_Movimentacao[[#This Row],[Status]]="Em Aberto",Tabela_Movimentacao[[#This Row],[Status]]="Prorrogado"),Tabela_Movimentacao[[#This Row],[Valor]],0)</f>
        <v>0</v>
      </c>
      <c r="V199" s="219">
        <f ca="1">IF(Tabela_Movimentacao[[#This Row],[Status]]="Cancelado","",IF(Tabela_Movimentacao[[#This Row],[Status]]&lt;&gt;"Pago","",Tabela_Movimentacao[[#This Row],[Valor]]))</f>
        <v>112</v>
      </c>
    </row>
    <row r="200" spans="1:22" ht="35.5" hidden="1" customHeight="1" x14ac:dyDescent="0.35">
      <c r="A200" s="222" t="str">
        <f>"E"&amp;ROW()-10</f>
        <v>E190</v>
      </c>
      <c r="B200" s="223" t="str">
        <f t="shared" si="7"/>
        <v>FILE</v>
      </c>
      <c r="C200" s="224" t="s">
        <v>62</v>
      </c>
      <c r="D200" s="225" t="s">
        <v>104</v>
      </c>
      <c r="E200" s="226" t="s">
        <v>59</v>
      </c>
      <c r="F200" s="227" t="s">
        <v>380</v>
      </c>
      <c r="G200" s="228">
        <v>44193</v>
      </c>
      <c r="H200" s="229" t="s">
        <v>63</v>
      </c>
      <c r="I200" s="225" t="s">
        <v>222</v>
      </c>
      <c r="J200" s="225" t="s">
        <v>327</v>
      </c>
      <c r="K200" s="230">
        <v>3650.09</v>
      </c>
      <c r="L200" s="228">
        <v>44193</v>
      </c>
      <c r="M200" s="229" t="s">
        <v>47</v>
      </c>
      <c r="N200" s="229"/>
      <c r="O200" s="228"/>
      <c r="P200" s="228">
        <v>44193</v>
      </c>
      <c r="Q20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44193</v>
      </c>
      <c r="S20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3650.09</v>
      </c>
      <c r="U200" s="235">
        <f ca="1">IF(OR(Tabela_Movimentacao[[#This Row],[Status]]="Em Aberto",Tabela_Movimentacao[[#This Row],[Status]]="Prorrogado"),Tabela_Movimentacao[[#This Row],[Valor]],0)</f>
        <v>0</v>
      </c>
      <c r="V200" s="219">
        <f ca="1">IF(Tabela_Movimentacao[[#This Row],[Status]]="Cancelado","",IF(Tabela_Movimentacao[[#This Row],[Status]]&lt;&gt;"Pago","",Tabela_Movimentacao[[#This Row],[Valor]]))</f>
        <v>3650.09</v>
      </c>
    </row>
    <row r="201" spans="1:22" ht="35.5" hidden="1" customHeight="1" x14ac:dyDescent="0.35">
      <c r="A201" s="222" t="str">
        <f>"E"&amp;ROW()-10</f>
        <v>E191</v>
      </c>
      <c r="B201" s="223" t="str">
        <f t="shared" si="7"/>
        <v>FILE</v>
      </c>
      <c r="C201" s="224" t="s">
        <v>56</v>
      </c>
      <c r="D201" s="225" t="s">
        <v>49</v>
      </c>
      <c r="E201" s="226" t="s">
        <v>50</v>
      </c>
      <c r="F201" s="227" t="s">
        <v>380</v>
      </c>
      <c r="G201" s="228">
        <v>44193</v>
      </c>
      <c r="H201" s="229" t="s">
        <v>63</v>
      </c>
      <c r="I201" s="225" t="s">
        <v>329</v>
      </c>
      <c r="J201" s="225" t="s">
        <v>327</v>
      </c>
      <c r="K201" s="230">
        <v>3650.09</v>
      </c>
      <c r="L201" s="228">
        <v>44193</v>
      </c>
      <c r="M201" s="229" t="s">
        <v>47</v>
      </c>
      <c r="N201" s="229"/>
      <c r="O201" s="228"/>
      <c r="P201" s="228">
        <v>44193</v>
      </c>
      <c r="Q20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44193</v>
      </c>
      <c r="S20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-3650.09</v>
      </c>
      <c r="U201" s="235">
        <f ca="1">IF(OR(Tabela_Movimentacao[[#This Row],[Status]]="Em Aberto",Tabela_Movimentacao[[#This Row],[Status]]="Prorrogado"),Tabela_Movimentacao[[#This Row],[Valor]],0)</f>
        <v>0</v>
      </c>
      <c r="V201" s="219">
        <f ca="1">IF(Tabela_Movimentacao[[#This Row],[Status]]="Cancelado","",IF(Tabela_Movimentacao[[#This Row],[Status]]&lt;&gt;"Pago","",Tabela_Movimentacao[[#This Row],[Valor]]))</f>
        <v>3650.09</v>
      </c>
    </row>
    <row r="202" spans="1:22" ht="35.5" hidden="1" customHeight="1" x14ac:dyDescent="0.35">
      <c r="A202" s="222" t="str">
        <f t="shared" ref="A202:A203" si="13">"E"&amp;ROW()-10</f>
        <v>E192</v>
      </c>
      <c r="B202" s="223" t="str">
        <f t="shared" si="7"/>
        <v>FILE</v>
      </c>
      <c r="C202" s="224" t="s">
        <v>62</v>
      </c>
      <c r="D202" s="225" t="s">
        <v>104</v>
      </c>
      <c r="E202" s="226" t="s">
        <v>59</v>
      </c>
      <c r="F202" s="227" t="s">
        <v>382</v>
      </c>
      <c r="G202" s="228">
        <v>44194</v>
      </c>
      <c r="H202" s="229" t="s">
        <v>65</v>
      </c>
      <c r="I202" s="225" t="s">
        <v>222</v>
      </c>
      <c r="J202" s="225" t="s">
        <v>327</v>
      </c>
      <c r="K202" s="230">
        <v>490</v>
      </c>
      <c r="L202" s="228">
        <v>44194</v>
      </c>
      <c r="M202" s="229" t="s">
        <v>44</v>
      </c>
      <c r="N202" s="229"/>
      <c r="O202" s="228"/>
      <c r="P202" s="228">
        <v>44194</v>
      </c>
      <c r="Q20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490</v>
      </c>
      <c r="U202" s="235">
        <f ca="1">IF(OR(Tabela_Movimentacao[[#This Row],[Status]]="Em Aberto",Tabela_Movimentacao[[#This Row],[Status]]="Prorrogado"),Tabela_Movimentacao[[#This Row],[Valor]],0)</f>
        <v>0</v>
      </c>
      <c r="V202" s="219">
        <f ca="1">IF(Tabela_Movimentacao[[#This Row],[Status]]="Cancelado","",IF(Tabela_Movimentacao[[#This Row],[Status]]&lt;&gt;"Pago","",Tabela_Movimentacao[[#This Row],[Valor]]))</f>
        <v>490</v>
      </c>
    </row>
    <row r="203" spans="1:22" ht="35.5" hidden="1" customHeight="1" x14ac:dyDescent="0.35">
      <c r="A203" s="222" t="str">
        <f t="shared" si="13"/>
        <v>E193</v>
      </c>
      <c r="B203" s="223" t="str">
        <f t="shared" ref="B203:B266" si="14">"FILE"</f>
        <v>FILE</v>
      </c>
      <c r="C203" s="224" t="s">
        <v>56</v>
      </c>
      <c r="D203" s="225" t="s">
        <v>49</v>
      </c>
      <c r="E203" s="226" t="s">
        <v>48</v>
      </c>
      <c r="F203" s="227" t="s">
        <v>382</v>
      </c>
      <c r="G203" s="228">
        <v>44194</v>
      </c>
      <c r="H203" s="229" t="s">
        <v>65</v>
      </c>
      <c r="I203" s="225" t="s">
        <v>381</v>
      </c>
      <c r="J203" s="225" t="s">
        <v>327</v>
      </c>
      <c r="K203" s="230">
        <v>490</v>
      </c>
      <c r="L203" s="228">
        <v>44194</v>
      </c>
      <c r="M203" s="229" t="s">
        <v>44</v>
      </c>
      <c r="N203" s="229"/>
      <c r="O203" s="228"/>
      <c r="P203" s="228">
        <v>44194</v>
      </c>
      <c r="Q20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-490</v>
      </c>
      <c r="U203" s="235">
        <f ca="1">IF(OR(Tabela_Movimentacao[[#This Row],[Status]]="Em Aberto",Tabela_Movimentacao[[#This Row],[Status]]="Prorrogado"),Tabela_Movimentacao[[#This Row],[Valor]],0)</f>
        <v>0</v>
      </c>
      <c r="V203" s="219">
        <f ca="1">IF(Tabela_Movimentacao[[#This Row],[Status]]="Cancelado","",IF(Tabela_Movimentacao[[#This Row],[Status]]&lt;&gt;"Pago","",Tabela_Movimentacao[[#This Row],[Valor]]))</f>
        <v>490</v>
      </c>
    </row>
    <row r="204" spans="1:22" ht="35.5" hidden="1" customHeight="1" x14ac:dyDescent="0.35">
      <c r="A204" s="222" t="str">
        <f t="shared" ref="A204:A205" si="15">"E"&amp;ROW()-10</f>
        <v>E194</v>
      </c>
      <c r="B204" s="223" t="str">
        <f t="shared" si="14"/>
        <v>FILE</v>
      </c>
      <c r="C204" s="224" t="s">
        <v>62</v>
      </c>
      <c r="D204" s="225" t="s">
        <v>104</v>
      </c>
      <c r="E204" s="226" t="s">
        <v>59</v>
      </c>
      <c r="F204" s="227" t="s">
        <v>280</v>
      </c>
      <c r="G204" s="228">
        <v>44194</v>
      </c>
      <c r="H204" s="229" t="s">
        <v>65</v>
      </c>
      <c r="I204" s="225" t="s">
        <v>222</v>
      </c>
      <c r="J204" s="225" t="s">
        <v>327</v>
      </c>
      <c r="K204" s="230">
        <v>135</v>
      </c>
      <c r="L204" s="228">
        <v>44194</v>
      </c>
      <c r="M204" s="229" t="s">
        <v>44</v>
      </c>
      <c r="N204" s="229"/>
      <c r="O204" s="228"/>
      <c r="P204" s="228">
        <v>44194</v>
      </c>
      <c r="Q20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135</v>
      </c>
      <c r="U204" s="235">
        <f ca="1">IF(OR(Tabela_Movimentacao[[#This Row],[Status]]="Em Aberto",Tabela_Movimentacao[[#This Row],[Status]]="Prorrogado"),Tabela_Movimentacao[[#This Row],[Valor]],0)</f>
        <v>0</v>
      </c>
      <c r="V204" s="219">
        <f ca="1">IF(Tabela_Movimentacao[[#This Row],[Status]]="Cancelado","",IF(Tabela_Movimentacao[[#This Row],[Status]]&lt;&gt;"Pago","",Tabela_Movimentacao[[#This Row],[Valor]]))</f>
        <v>135</v>
      </c>
    </row>
    <row r="205" spans="1:22" ht="35.5" hidden="1" customHeight="1" x14ac:dyDescent="0.35">
      <c r="A205" s="222" t="str">
        <f t="shared" si="15"/>
        <v>E195</v>
      </c>
      <c r="B205" s="223" t="str">
        <f t="shared" si="14"/>
        <v>FILE</v>
      </c>
      <c r="C205" s="224" t="s">
        <v>56</v>
      </c>
      <c r="D205" s="225" t="s">
        <v>49</v>
      </c>
      <c r="E205" s="226" t="s">
        <v>48</v>
      </c>
      <c r="F205" s="227" t="s">
        <v>280</v>
      </c>
      <c r="G205" s="228">
        <v>44194</v>
      </c>
      <c r="H205" s="229" t="s">
        <v>65</v>
      </c>
      <c r="I205" s="225" t="s">
        <v>279</v>
      </c>
      <c r="J205" s="225" t="s">
        <v>327</v>
      </c>
      <c r="K205" s="230">
        <v>135</v>
      </c>
      <c r="L205" s="228">
        <v>44194</v>
      </c>
      <c r="M205" s="229" t="s">
        <v>44</v>
      </c>
      <c r="N205" s="229"/>
      <c r="O205" s="228"/>
      <c r="P205" s="228">
        <v>44194</v>
      </c>
      <c r="Q20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-135</v>
      </c>
      <c r="U205" s="235">
        <f ca="1">IF(OR(Tabela_Movimentacao[[#This Row],[Status]]="Em Aberto",Tabela_Movimentacao[[#This Row],[Status]]="Prorrogado"),Tabela_Movimentacao[[#This Row],[Valor]],0)</f>
        <v>0</v>
      </c>
      <c r="V205" s="219">
        <f ca="1">IF(Tabela_Movimentacao[[#This Row],[Status]]="Cancelado","",IF(Tabela_Movimentacao[[#This Row],[Status]]&lt;&gt;"Pago","",Tabela_Movimentacao[[#This Row],[Valor]]))</f>
        <v>135</v>
      </c>
    </row>
    <row r="206" spans="1:22" ht="35.5" hidden="1" customHeight="1" x14ac:dyDescent="0.35">
      <c r="A206" s="222" t="str">
        <f t="shared" ref="A206:A207" si="16">"E"&amp;ROW()-10</f>
        <v>E196</v>
      </c>
      <c r="B206" s="223" t="str">
        <f t="shared" si="14"/>
        <v>FILE</v>
      </c>
      <c r="C206" s="224" t="s">
        <v>62</v>
      </c>
      <c r="D206" s="225" t="s">
        <v>104</v>
      </c>
      <c r="E206" s="226" t="s">
        <v>59</v>
      </c>
      <c r="F206" s="227" t="s">
        <v>383</v>
      </c>
      <c r="G206" s="228">
        <v>44194</v>
      </c>
      <c r="H206" s="229" t="s">
        <v>65</v>
      </c>
      <c r="I206" s="225" t="s">
        <v>222</v>
      </c>
      <c r="J206" s="225" t="s">
        <v>327</v>
      </c>
      <c r="K206" s="230">
        <v>823</v>
      </c>
      <c r="L206" s="228">
        <v>44194</v>
      </c>
      <c r="M206" s="229" t="s">
        <v>44</v>
      </c>
      <c r="N206" s="229"/>
      <c r="O206" s="228"/>
      <c r="P206" s="228">
        <v>44194</v>
      </c>
      <c r="Q20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823</v>
      </c>
      <c r="U206" s="235">
        <f ca="1">IF(OR(Tabela_Movimentacao[[#This Row],[Status]]="Em Aberto",Tabela_Movimentacao[[#This Row],[Status]]="Prorrogado"),Tabela_Movimentacao[[#This Row],[Valor]],0)</f>
        <v>0</v>
      </c>
      <c r="V206" s="219">
        <f ca="1">IF(Tabela_Movimentacao[[#This Row],[Status]]="Cancelado","",IF(Tabela_Movimentacao[[#This Row],[Status]]&lt;&gt;"Pago","",Tabela_Movimentacao[[#This Row],[Valor]]))</f>
        <v>823</v>
      </c>
    </row>
    <row r="207" spans="1:22" ht="35.5" hidden="1" customHeight="1" x14ac:dyDescent="0.35">
      <c r="A207" s="222" t="str">
        <f t="shared" si="16"/>
        <v>E197</v>
      </c>
      <c r="B207" s="223" t="str">
        <f t="shared" si="14"/>
        <v>FILE</v>
      </c>
      <c r="C207" s="224" t="s">
        <v>56</v>
      </c>
      <c r="D207" s="225" t="s">
        <v>49</v>
      </c>
      <c r="E207" s="226" t="s">
        <v>48</v>
      </c>
      <c r="F207" s="227" t="s">
        <v>383</v>
      </c>
      <c r="G207" s="228">
        <v>44194</v>
      </c>
      <c r="H207" s="229" t="s">
        <v>65</v>
      </c>
      <c r="I207" s="225" t="s">
        <v>254</v>
      </c>
      <c r="J207" s="225" t="s">
        <v>327</v>
      </c>
      <c r="K207" s="230">
        <v>823</v>
      </c>
      <c r="L207" s="228">
        <v>44194</v>
      </c>
      <c r="M207" s="229" t="s">
        <v>44</v>
      </c>
      <c r="N207" s="229"/>
      <c r="O207" s="228"/>
      <c r="P207" s="228">
        <v>44194</v>
      </c>
      <c r="Q20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-823</v>
      </c>
      <c r="U207" s="235">
        <f ca="1">IF(OR(Tabela_Movimentacao[[#This Row],[Status]]="Em Aberto",Tabela_Movimentacao[[#This Row],[Status]]="Prorrogado"),Tabela_Movimentacao[[#This Row],[Valor]],0)</f>
        <v>0</v>
      </c>
      <c r="V207" s="219">
        <f ca="1">IF(Tabela_Movimentacao[[#This Row],[Status]]="Cancelado","",IF(Tabela_Movimentacao[[#This Row],[Status]]&lt;&gt;"Pago","",Tabela_Movimentacao[[#This Row],[Valor]]))</f>
        <v>823</v>
      </c>
    </row>
    <row r="208" spans="1:22" ht="35.5" hidden="1" customHeight="1" x14ac:dyDescent="0.35">
      <c r="A208" s="222" t="str">
        <f t="shared" ref="A208:A209" si="17">"E"&amp;ROW()-10</f>
        <v>E198</v>
      </c>
      <c r="B208" s="223" t="str">
        <f t="shared" si="14"/>
        <v>FILE</v>
      </c>
      <c r="C208" s="224" t="s">
        <v>62</v>
      </c>
      <c r="D208" s="225" t="s">
        <v>104</v>
      </c>
      <c r="E208" s="226" t="s">
        <v>59</v>
      </c>
      <c r="F208" s="227" t="s">
        <v>325</v>
      </c>
      <c r="G208" s="228">
        <v>44194</v>
      </c>
      <c r="H208" s="229" t="s">
        <v>65</v>
      </c>
      <c r="I208" s="225" t="s">
        <v>222</v>
      </c>
      <c r="J208" s="225" t="s">
        <v>327</v>
      </c>
      <c r="K208" s="230">
        <v>2835</v>
      </c>
      <c r="L208" s="228">
        <v>44194</v>
      </c>
      <c r="M208" s="229" t="s">
        <v>44</v>
      </c>
      <c r="N208" s="229"/>
      <c r="O208" s="228"/>
      <c r="P208" s="228">
        <v>44194</v>
      </c>
      <c r="Q20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2835</v>
      </c>
      <c r="U208" s="235">
        <f ca="1">IF(OR(Tabela_Movimentacao[[#This Row],[Status]]="Em Aberto",Tabela_Movimentacao[[#This Row],[Status]]="Prorrogado"),Tabela_Movimentacao[[#This Row],[Valor]],0)</f>
        <v>0</v>
      </c>
      <c r="V208" s="219">
        <f ca="1">IF(Tabela_Movimentacao[[#This Row],[Status]]="Cancelado","",IF(Tabela_Movimentacao[[#This Row],[Status]]&lt;&gt;"Pago","",Tabela_Movimentacao[[#This Row],[Valor]]))</f>
        <v>2835</v>
      </c>
    </row>
    <row r="209" spans="1:22" ht="35.5" hidden="1" customHeight="1" x14ac:dyDescent="0.35">
      <c r="A209" s="222" t="str">
        <f t="shared" si="17"/>
        <v>E199</v>
      </c>
      <c r="B209" s="223" t="str">
        <f t="shared" si="14"/>
        <v>FILE</v>
      </c>
      <c r="C209" s="224" t="s">
        <v>56</v>
      </c>
      <c r="D209" s="225" t="s">
        <v>49</v>
      </c>
      <c r="E209" s="226" t="s">
        <v>48</v>
      </c>
      <c r="F209" s="227" t="s">
        <v>325</v>
      </c>
      <c r="G209" s="228">
        <v>44194</v>
      </c>
      <c r="H209" s="229" t="s">
        <v>65</v>
      </c>
      <c r="I209" s="225" t="s">
        <v>293</v>
      </c>
      <c r="J209" s="225" t="s">
        <v>327</v>
      </c>
      <c r="K209" s="230">
        <v>2835</v>
      </c>
      <c r="L209" s="228">
        <v>44194</v>
      </c>
      <c r="M209" s="229" t="s">
        <v>44</v>
      </c>
      <c r="N209" s="229"/>
      <c r="O209" s="228"/>
      <c r="P209" s="228">
        <v>44194</v>
      </c>
      <c r="Q20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0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44194</v>
      </c>
      <c r="S20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44166</v>
      </c>
      <c r="T20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-2835</v>
      </c>
      <c r="U209" s="235">
        <f ca="1">IF(OR(Tabela_Movimentacao[[#This Row],[Status]]="Em Aberto",Tabela_Movimentacao[[#This Row],[Status]]="Prorrogado"),Tabela_Movimentacao[[#This Row],[Valor]],0)</f>
        <v>0</v>
      </c>
      <c r="V209" s="219">
        <f ca="1">IF(Tabela_Movimentacao[[#This Row],[Status]]="Cancelado","",IF(Tabela_Movimentacao[[#This Row],[Status]]&lt;&gt;"Pago","",Tabela_Movimentacao[[#This Row],[Valor]]))</f>
        <v>2835</v>
      </c>
    </row>
    <row r="210" spans="1:22" ht="35.5" hidden="1" customHeight="1" x14ac:dyDescent="0.35">
      <c r="A210" s="222" t="str">
        <f t="shared" ref="A210:A215" si="18">"E"&amp;ROW()-10</f>
        <v>E200</v>
      </c>
      <c r="B210" s="223" t="str">
        <f t="shared" si="14"/>
        <v>FILE</v>
      </c>
      <c r="C210" s="224" t="s">
        <v>62</v>
      </c>
      <c r="D210" s="225" t="s">
        <v>104</v>
      </c>
      <c r="E210" s="226" t="s">
        <v>59</v>
      </c>
      <c r="F210" s="227" t="s">
        <v>380</v>
      </c>
      <c r="G210" s="228">
        <v>44200</v>
      </c>
      <c r="H210" s="229" t="s">
        <v>65</v>
      </c>
      <c r="I210" s="225" t="s">
        <v>222</v>
      </c>
      <c r="J210" s="225" t="s">
        <v>327</v>
      </c>
      <c r="K210" s="230">
        <v>3650.09</v>
      </c>
      <c r="L210" s="228">
        <v>44200</v>
      </c>
      <c r="M210" s="229" t="s">
        <v>47</v>
      </c>
      <c r="N210" s="229"/>
      <c r="O210" s="228"/>
      <c r="P210" s="228">
        <v>44200</v>
      </c>
      <c r="Q21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1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3650.09</v>
      </c>
      <c r="U210" s="235">
        <f ca="1">IF(OR(Tabela_Movimentacao[[#This Row],[Status]]="Em Aberto",Tabela_Movimentacao[[#This Row],[Status]]="Prorrogado"),Tabela_Movimentacao[[#This Row],[Valor]],0)</f>
        <v>0</v>
      </c>
      <c r="V210" s="219">
        <f ca="1">IF(Tabela_Movimentacao[[#This Row],[Status]]="Cancelado","",IF(Tabela_Movimentacao[[#This Row],[Status]]&lt;&gt;"Pago","",Tabela_Movimentacao[[#This Row],[Valor]]))</f>
        <v>3650.09</v>
      </c>
    </row>
    <row r="211" spans="1:22" ht="35.5" hidden="1" customHeight="1" x14ac:dyDescent="0.35">
      <c r="A211" s="222" t="str">
        <f t="shared" si="18"/>
        <v>E201</v>
      </c>
      <c r="B211" s="223" t="str">
        <f t="shared" si="14"/>
        <v>FILE</v>
      </c>
      <c r="C211" s="224" t="s">
        <v>56</v>
      </c>
      <c r="D211" s="225" t="s">
        <v>49</v>
      </c>
      <c r="E211" s="226" t="s">
        <v>48</v>
      </c>
      <c r="F211" s="227" t="s">
        <v>380</v>
      </c>
      <c r="G211" s="228">
        <v>44200</v>
      </c>
      <c r="H211" s="229" t="s">
        <v>65</v>
      </c>
      <c r="I211" s="225" t="s">
        <v>329</v>
      </c>
      <c r="J211" s="225" t="s">
        <v>327</v>
      </c>
      <c r="K211" s="230">
        <v>3650.09</v>
      </c>
      <c r="L211" s="228">
        <v>44200</v>
      </c>
      <c r="M211" s="229" t="s">
        <v>47</v>
      </c>
      <c r="N211" s="229"/>
      <c r="O211" s="228"/>
      <c r="P211" s="228">
        <v>44200</v>
      </c>
      <c r="Q21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1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-3650.09</v>
      </c>
      <c r="U211" s="235">
        <f ca="1">IF(OR(Tabela_Movimentacao[[#This Row],[Status]]="Em Aberto",Tabela_Movimentacao[[#This Row],[Status]]="Prorrogado"),Tabela_Movimentacao[[#This Row],[Valor]],0)</f>
        <v>0</v>
      </c>
      <c r="V211" s="219">
        <f ca="1">IF(Tabela_Movimentacao[[#This Row],[Status]]="Cancelado","",IF(Tabela_Movimentacao[[#This Row],[Status]]&lt;&gt;"Pago","",Tabela_Movimentacao[[#This Row],[Valor]]))</f>
        <v>3650.09</v>
      </c>
    </row>
    <row r="212" spans="1:22" ht="35.5" hidden="1" customHeight="1" x14ac:dyDescent="0.35">
      <c r="A212" s="222" t="str">
        <f t="shared" si="18"/>
        <v>E202</v>
      </c>
      <c r="B212" s="223" t="str">
        <f t="shared" si="14"/>
        <v>FILE</v>
      </c>
      <c r="C212" s="224" t="s">
        <v>62</v>
      </c>
      <c r="D212" s="225" t="s">
        <v>104</v>
      </c>
      <c r="E212" s="226" t="s">
        <v>59</v>
      </c>
      <c r="F212" s="227" t="s">
        <v>385</v>
      </c>
      <c r="G212" s="228">
        <v>44200</v>
      </c>
      <c r="H212" s="229" t="s">
        <v>64</v>
      </c>
      <c r="I212" s="225" t="s">
        <v>222</v>
      </c>
      <c r="J212" s="225" t="s">
        <v>327</v>
      </c>
      <c r="K212" s="230">
        <v>7250.18</v>
      </c>
      <c r="L212" s="228">
        <v>44200</v>
      </c>
      <c r="M212" s="229" t="s">
        <v>47</v>
      </c>
      <c r="N212" s="229"/>
      <c r="O212" s="228"/>
      <c r="P212" s="228">
        <v>44200</v>
      </c>
      <c r="Q21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1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7250.18</v>
      </c>
      <c r="U212" s="235">
        <f ca="1">IF(OR(Tabela_Movimentacao[[#This Row],[Status]]="Em Aberto",Tabela_Movimentacao[[#This Row],[Status]]="Prorrogado"),Tabela_Movimentacao[[#This Row],[Valor]],0)</f>
        <v>0</v>
      </c>
      <c r="V212" s="219">
        <f ca="1">IF(Tabela_Movimentacao[[#This Row],[Status]]="Cancelado","",IF(Tabela_Movimentacao[[#This Row],[Status]]&lt;&gt;"Pago","",Tabela_Movimentacao[[#This Row],[Valor]]))</f>
        <v>7250.18</v>
      </c>
    </row>
    <row r="213" spans="1:22" ht="35.5" hidden="1" customHeight="1" x14ac:dyDescent="0.35">
      <c r="A213" s="222" t="str">
        <f t="shared" si="18"/>
        <v>E203</v>
      </c>
      <c r="B213" s="223" t="str">
        <f t="shared" si="14"/>
        <v>FILE</v>
      </c>
      <c r="C213" s="224" t="s">
        <v>56</v>
      </c>
      <c r="D213" s="225" t="s">
        <v>49</v>
      </c>
      <c r="E213" s="226" t="s">
        <v>48</v>
      </c>
      <c r="F213" s="227" t="s">
        <v>385</v>
      </c>
      <c r="G213" s="228">
        <v>44200</v>
      </c>
      <c r="H213" s="229" t="s">
        <v>64</v>
      </c>
      <c r="I213" s="225" t="s">
        <v>329</v>
      </c>
      <c r="J213" s="225" t="s">
        <v>327</v>
      </c>
      <c r="K213" s="230">
        <v>7250.18</v>
      </c>
      <c r="L213" s="228">
        <v>44200</v>
      </c>
      <c r="M213" s="229" t="s">
        <v>47</v>
      </c>
      <c r="N213" s="229"/>
      <c r="O213" s="228"/>
      <c r="P213" s="228">
        <v>44200</v>
      </c>
      <c r="Q21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1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-7250.18</v>
      </c>
      <c r="U213" s="235">
        <f ca="1">IF(OR(Tabela_Movimentacao[[#This Row],[Status]]="Em Aberto",Tabela_Movimentacao[[#This Row],[Status]]="Prorrogado"),Tabela_Movimentacao[[#This Row],[Valor]],0)</f>
        <v>0</v>
      </c>
      <c r="V213" s="219">
        <f ca="1">IF(Tabela_Movimentacao[[#This Row],[Status]]="Cancelado","",IF(Tabela_Movimentacao[[#This Row],[Status]]&lt;&gt;"Pago","",Tabela_Movimentacao[[#This Row],[Valor]]))</f>
        <v>7250.18</v>
      </c>
    </row>
    <row r="214" spans="1:22" ht="35.5" hidden="1" customHeight="1" x14ac:dyDescent="0.35">
      <c r="A214" s="222" t="str">
        <f t="shared" si="18"/>
        <v>E204</v>
      </c>
      <c r="B214" s="223" t="str">
        <f t="shared" si="14"/>
        <v>FILE</v>
      </c>
      <c r="C214" s="224" t="s">
        <v>62</v>
      </c>
      <c r="D214" s="225" t="s">
        <v>104</v>
      </c>
      <c r="E214" s="226" t="s">
        <v>59</v>
      </c>
      <c r="F214" s="227" t="s">
        <v>407</v>
      </c>
      <c r="G214" s="228">
        <v>44204</v>
      </c>
      <c r="H214" s="229" t="s">
        <v>63</v>
      </c>
      <c r="I214" s="225" t="s">
        <v>222</v>
      </c>
      <c r="J214" s="225" t="s">
        <v>327</v>
      </c>
      <c r="K214" s="230">
        <v>3030</v>
      </c>
      <c r="L214" s="228">
        <v>44204</v>
      </c>
      <c r="M214" s="229" t="s">
        <v>47</v>
      </c>
      <c r="N214" s="229"/>
      <c r="O214" s="228"/>
      <c r="P214" s="228">
        <v>44204</v>
      </c>
      <c r="Q21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44204</v>
      </c>
      <c r="S21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3030</v>
      </c>
      <c r="U214" s="235">
        <f ca="1">IF(OR(Tabela_Movimentacao[[#This Row],[Status]]="Em Aberto",Tabela_Movimentacao[[#This Row],[Status]]="Prorrogado"),Tabela_Movimentacao[[#This Row],[Valor]],0)</f>
        <v>0</v>
      </c>
      <c r="V214" s="219">
        <f ca="1">IF(Tabela_Movimentacao[[#This Row],[Status]]="Cancelado","",IF(Tabela_Movimentacao[[#This Row],[Status]]&lt;&gt;"Pago","",Tabela_Movimentacao[[#This Row],[Valor]]))</f>
        <v>3030</v>
      </c>
    </row>
    <row r="215" spans="1:22" ht="35.5" hidden="1" customHeight="1" x14ac:dyDescent="0.35">
      <c r="A215" s="222" t="str">
        <f t="shared" si="18"/>
        <v>E205</v>
      </c>
      <c r="B215" s="223" t="str">
        <f t="shared" si="14"/>
        <v>FILE</v>
      </c>
      <c r="C215" s="224" t="s">
        <v>56</v>
      </c>
      <c r="D215" s="225" t="s">
        <v>49</v>
      </c>
      <c r="E215" s="226" t="s">
        <v>48</v>
      </c>
      <c r="F215" s="227" t="s">
        <v>407</v>
      </c>
      <c r="G215" s="228">
        <v>44204</v>
      </c>
      <c r="H215" s="229" t="s">
        <v>63</v>
      </c>
      <c r="I215" s="225" t="s">
        <v>329</v>
      </c>
      <c r="J215" s="225" t="s">
        <v>327</v>
      </c>
      <c r="K215" s="230">
        <v>3030</v>
      </c>
      <c r="L215" s="228">
        <v>44204</v>
      </c>
      <c r="M215" s="229" t="s">
        <v>47</v>
      </c>
      <c r="N215" s="229"/>
      <c r="O215" s="228"/>
      <c r="P215" s="228">
        <v>44204</v>
      </c>
      <c r="Q21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44204</v>
      </c>
      <c r="S21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-3030</v>
      </c>
      <c r="U215" s="235">
        <f ca="1">IF(OR(Tabela_Movimentacao[[#This Row],[Status]]="Em Aberto",Tabela_Movimentacao[[#This Row],[Status]]="Prorrogado"),Tabela_Movimentacao[[#This Row],[Valor]],0)</f>
        <v>0</v>
      </c>
      <c r="V215" s="219">
        <f ca="1">IF(Tabela_Movimentacao[[#This Row],[Status]]="Cancelado","",IF(Tabela_Movimentacao[[#This Row],[Status]]&lt;&gt;"Pago","",Tabela_Movimentacao[[#This Row],[Valor]]))</f>
        <v>3030</v>
      </c>
    </row>
    <row r="216" spans="1:22" ht="35.5" hidden="1" customHeight="1" x14ac:dyDescent="0.35">
      <c r="A216" s="222" t="str">
        <f t="shared" ref="A216:A217" si="19">"E"&amp;ROW()-10</f>
        <v>E206</v>
      </c>
      <c r="B216" s="223" t="str">
        <f t="shared" si="14"/>
        <v>FILE</v>
      </c>
      <c r="C216" s="224" t="s">
        <v>62</v>
      </c>
      <c r="D216" s="225" t="s">
        <v>104</v>
      </c>
      <c r="E216" s="226" t="s">
        <v>59</v>
      </c>
      <c r="F216" s="227" t="s">
        <v>408</v>
      </c>
      <c r="G216" s="228">
        <v>44204</v>
      </c>
      <c r="H216" s="229" t="s">
        <v>63</v>
      </c>
      <c r="I216" s="225" t="s">
        <v>222</v>
      </c>
      <c r="J216" s="225" t="s">
        <v>327</v>
      </c>
      <c r="K216" s="230">
        <v>6239.37</v>
      </c>
      <c r="L216" s="228">
        <v>44204</v>
      </c>
      <c r="M216" s="229" t="s">
        <v>47</v>
      </c>
      <c r="N216" s="229"/>
      <c r="O216" s="228"/>
      <c r="P216" s="228">
        <v>44204</v>
      </c>
      <c r="Q21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44204</v>
      </c>
      <c r="S21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6239.37</v>
      </c>
      <c r="U216" s="235">
        <f ca="1">IF(OR(Tabela_Movimentacao[[#This Row],[Status]]="Em Aberto",Tabela_Movimentacao[[#This Row],[Status]]="Prorrogado"),Tabela_Movimentacao[[#This Row],[Valor]],0)</f>
        <v>0</v>
      </c>
      <c r="V216" s="219">
        <f ca="1">IF(Tabela_Movimentacao[[#This Row],[Status]]="Cancelado","",IF(Tabela_Movimentacao[[#This Row],[Status]]&lt;&gt;"Pago","",Tabela_Movimentacao[[#This Row],[Valor]]))</f>
        <v>6239.37</v>
      </c>
    </row>
    <row r="217" spans="1:22" ht="35.5" hidden="1" customHeight="1" x14ac:dyDescent="0.35">
      <c r="A217" s="222" t="str">
        <f t="shared" si="19"/>
        <v>E207</v>
      </c>
      <c r="B217" s="223" t="str">
        <f t="shared" si="14"/>
        <v>FILE</v>
      </c>
      <c r="C217" s="224" t="s">
        <v>56</v>
      </c>
      <c r="D217" s="225" t="s">
        <v>49</v>
      </c>
      <c r="E217" s="226" t="s">
        <v>50</v>
      </c>
      <c r="F217" s="227" t="s">
        <v>408</v>
      </c>
      <c r="G217" s="228">
        <v>44204</v>
      </c>
      <c r="H217" s="229" t="s">
        <v>63</v>
      </c>
      <c r="I217" s="225" t="s">
        <v>329</v>
      </c>
      <c r="J217" s="225" t="s">
        <v>327</v>
      </c>
      <c r="K217" s="230">
        <v>6239.37</v>
      </c>
      <c r="L217" s="228">
        <v>44204</v>
      </c>
      <c r="M217" s="229" t="s">
        <v>47</v>
      </c>
      <c r="N217" s="229"/>
      <c r="O217" s="228"/>
      <c r="P217" s="228">
        <v>44204</v>
      </c>
      <c r="Q21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44204</v>
      </c>
      <c r="S21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-6239.37</v>
      </c>
      <c r="U217" s="235">
        <f ca="1">IF(OR(Tabela_Movimentacao[[#This Row],[Status]]="Em Aberto",Tabela_Movimentacao[[#This Row],[Status]]="Prorrogado"),Tabela_Movimentacao[[#This Row],[Valor]],0)</f>
        <v>0</v>
      </c>
      <c r="V217" s="219">
        <f ca="1">IF(Tabela_Movimentacao[[#This Row],[Status]]="Cancelado","",IF(Tabela_Movimentacao[[#This Row],[Status]]&lt;&gt;"Pago","",Tabela_Movimentacao[[#This Row],[Valor]]))</f>
        <v>6239.37</v>
      </c>
    </row>
    <row r="218" spans="1:22" ht="35.5" hidden="1" customHeight="1" x14ac:dyDescent="0.35">
      <c r="A218" s="222" t="str">
        <f>"E"&amp;ROW()-10</f>
        <v>E208</v>
      </c>
      <c r="B218" s="223" t="str">
        <f t="shared" si="14"/>
        <v>FILE</v>
      </c>
      <c r="C218" s="224" t="s">
        <v>62</v>
      </c>
      <c r="D218" s="225" t="s">
        <v>104</v>
      </c>
      <c r="E218" s="226" t="s">
        <v>59</v>
      </c>
      <c r="F218" s="227" t="s">
        <v>417</v>
      </c>
      <c r="G218" s="228">
        <v>44211</v>
      </c>
      <c r="H218" s="229" t="s">
        <v>65</v>
      </c>
      <c r="I218" s="225" t="s">
        <v>222</v>
      </c>
      <c r="J218" s="225" t="s">
        <v>327</v>
      </c>
      <c r="K218" s="230">
        <v>4367.6099999999997</v>
      </c>
      <c r="L218" s="228">
        <v>44211</v>
      </c>
      <c r="M218" s="229" t="s">
        <v>47</v>
      </c>
      <c r="N218" s="229"/>
      <c r="O218" s="228"/>
      <c r="P218" s="228">
        <v>44211</v>
      </c>
      <c r="Q21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44211</v>
      </c>
      <c r="S21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4367.6099999999997</v>
      </c>
      <c r="U218" s="235">
        <f ca="1">IF(OR(Tabela_Movimentacao[[#This Row],[Status]]="Em Aberto",Tabela_Movimentacao[[#This Row],[Status]]="Prorrogado"),Tabela_Movimentacao[[#This Row],[Valor]],0)</f>
        <v>0</v>
      </c>
      <c r="V218" s="219">
        <f ca="1">IF(Tabela_Movimentacao[[#This Row],[Status]]="Cancelado","",IF(Tabela_Movimentacao[[#This Row],[Status]]&lt;&gt;"Pago","",Tabela_Movimentacao[[#This Row],[Valor]]))</f>
        <v>4367.6099999999997</v>
      </c>
    </row>
    <row r="219" spans="1:22" ht="35.5" hidden="1" customHeight="1" x14ac:dyDescent="0.35">
      <c r="A219" s="222" t="str">
        <f>"E"&amp;ROW()-10</f>
        <v>E209</v>
      </c>
      <c r="B219" s="223" t="str">
        <f t="shared" si="14"/>
        <v>FILE</v>
      </c>
      <c r="C219" s="224" t="s">
        <v>56</v>
      </c>
      <c r="D219" s="225" t="s">
        <v>49</v>
      </c>
      <c r="E219" s="226" t="s">
        <v>48</v>
      </c>
      <c r="F219" s="227" t="s">
        <v>417</v>
      </c>
      <c r="G219" s="228">
        <v>44211</v>
      </c>
      <c r="H219" s="229" t="s">
        <v>65</v>
      </c>
      <c r="I219" s="225" t="s">
        <v>329</v>
      </c>
      <c r="J219" s="225" t="s">
        <v>327</v>
      </c>
      <c r="K219" s="230">
        <v>4367.6099999999997</v>
      </c>
      <c r="L219" s="228">
        <v>44211</v>
      </c>
      <c r="M219" s="229" t="s">
        <v>47</v>
      </c>
      <c r="N219" s="229"/>
      <c r="O219" s="228"/>
      <c r="P219" s="228">
        <v>44211</v>
      </c>
      <c r="Q21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1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44211</v>
      </c>
      <c r="S21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1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-4367.6099999999997</v>
      </c>
      <c r="U219" s="235">
        <f ca="1">IF(OR(Tabela_Movimentacao[[#This Row],[Status]]="Em Aberto",Tabela_Movimentacao[[#This Row],[Status]]="Prorrogado"),Tabela_Movimentacao[[#This Row],[Valor]],0)</f>
        <v>0</v>
      </c>
      <c r="V219" s="219">
        <f ca="1">IF(Tabela_Movimentacao[[#This Row],[Status]]="Cancelado","",IF(Tabela_Movimentacao[[#This Row],[Status]]&lt;&gt;"Pago","",Tabela_Movimentacao[[#This Row],[Valor]]))</f>
        <v>4367.6099999999997</v>
      </c>
    </row>
    <row r="220" spans="1:22" ht="35.5" hidden="1" customHeight="1" x14ac:dyDescent="0.35">
      <c r="A220" s="222" t="str">
        <f>"E"&amp;ROW()-10</f>
        <v>E210</v>
      </c>
      <c r="B220" s="223" t="str">
        <f t="shared" si="14"/>
        <v>FILE</v>
      </c>
      <c r="C220" s="224" t="s">
        <v>62</v>
      </c>
      <c r="D220" s="225" t="s">
        <v>104</v>
      </c>
      <c r="E220" s="226" t="s">
        <v>59</v>
      </c>
      <c r="F220" s="227" t="s">
        <v>415</v>
      </c>
      <c r="G220" s="228">
        <v>44199</v>
      </c>
      <c r="H220" s="229" t="s">
        <v>64</v>
      </c>
      <c r="I220" s="225" t="s">
        <v>222</v>
      </c>
      <c r="J220" s="225" t="s">
        <v>327</v>
      </c>
      <c r="K220" s="230">
        <v>190</v>
      </c>
      <c r="L220" s="228">
        <v>44199</v>
      </c>
      <c r="M220" s="229" t="s">
        <v>105</v>
      </c>
      <c r="N220" s="229"/>
      <c r="O220" s="228"/>
      <c r="P220" s="228">
        <v>44215</v>
      </c>
      <c r="Q22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2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190</v>
      </c>
      <c r="U220" s="235">
        <f ca="1">IF(OR(Tabela_Movimentacao[[#This Row],[Status]]="Em Aberto",Tabela_Movimentacao[[#This Row],[Status]]="Prorrogado"),Tabela_Movimentacao[[#This Row],[Valor]],0)</f>
        <v>0</v>
      </c>
      <c r="V220" s="219">
        <f ca="1">IF(Tabela_Movimentacao[[#This Row],[Status]]="Cancelado","",IF(Tabela_Movimentacao[[#This Row],[Status]]&lt;&gt;"Pago","",Tabela_Movimentacao[[#This Row],[Valor]]))</f>
        <v>190</v>
      </c>
    </row>
    <row r="221" spans="1:22" ht="35.5" hidden="1" customHeight="1" x14ac:dyDescent="0.35">
      <c r="A221" s="222" t="str">
        <f t="shared" ref="A221:A222" si="20">"E"&amp;ROW()-10</f>
        <v>E211</v>
      </c>
      <c r="B221" s="223" t="str">
        <f t="shared" si="14"/>
        <v>FILE</v>
      </c>
      <c r="C221" s="224" t="s">
        <v>62</v>
      </c>
      <c r="D221" s="225" t="s">
        <v>104</v>
      </c>
      <c r="E221" s="226" t="s">
        <v>59</v>
      </c>
      <c r="F221" s="227" t="s">
        <v>414</v>
      </c>
      <c r="G221" s="228">
        <v>44199</v>
      </c>
      <c r="H221" s="229" t="s">
        <v>64</v>
      </c>
      <c r="I221" s="225" t="s">
        <v>222</v>
      </c>
      <c r="J221" s="225" t="s">
        <v>327</v>
      </c>
      <c r="K221" s="230">
        <v>13.88</v>
      </c>
      <c r="L221" s="228">
        <v>44199</v>
      </c>
      <c r="M221" s="229" t="s">
        <v>105</v>
      </c>
      <c r="N221" s="229"/>
      <c r="O221" s="228"/>
      <c r="P221" s="228">
        <v>44215</v>
      </c>
      <c r="Q22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2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13.88</v>
      </c>
      <c r="U221" s="235">
        <f ca="1">IF(OR(Tabela_Movimentacao[[#This Row],[Status]]="Em Aberto",Tabela_Movimentacao[[#This Row],[Status]]="Prorrogado"),Tabela_Movimentacao[[#This Row],[Valor]],0)</f>
        <v>0</v>
      </c>
      <c r="V221" s="219">
        <f ca="1">IF(Tabela_Movimentacao[[#This Row],[Status]]="Cancelado","",IF(Tabela_Movimentacao[[#This Row],[Status]]&lt;&gt;"Pago","",Tabela_Movimentacao[[#This Row],[Valor]]))</f>
        <v>13.88</v>
      </c>
    </row>
    <row r="222" spans="1:22" ht="35.5" hidden="1" customHeight="1" x14ac:dyDescent="0.35">
      <c r="A222" s="222" t="str">
        <f t="shared" si="20"/>
        <v>E212</v>
      </c>
      <c r="B222" s="223" t="str">
        <f t="shared" si="14"/>
        <v>FILE</v>
      </c>
      <c r="C222" s="224" t="s">
        <v>56</v>
      </c>
      <c r="D222" s="225" t="s">
        <v>8</v>
      </c>
      <c r="E222" s="226" t="s">
        <v>88</v>
      </c>
      <c r="F222" s="227" t="s">
        <v>416</v>
      </c>
      <c r="G222" s="228">
        <v>44199</v>
      </c>
      <c r="H222" s="229" t="s">
        <v>64</v>
      </c>
      <c r="I222" s="225" t="s">
        <v>272</v>
      </c>
      <c r="J222" s="225" t="s">
        <v>327</v>
      </c>
      <c r="K222" s="230">
        <v>13.88</v>
      </c>
      <c r="L222" s="228">
        <v>44199</v>
      </c>
      <c r="M222" s="229" t="s">
        <v>105</v>
      </c>
      <c r="N222" s="229"/>
      <c r="O222" s="228"/>
      <c r="P222" s="228">
        <v>44215</v>
      </c>
      <c r="Q22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44200</v>
      </c>
      <c r="S22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-13.88</v>
      </c>
      <c r="U222" s="235">
        <f ca="1">IF(OR(Tabela_Movimentacao[[#This Row],[Status]]="Em Aberto",Tabela_Movimentacao[[#This Row],[Status]]="Prorrogado"),Tabela_Movimentacao[[#This Row],[Valor]],0)</f>
        <v>0</v>
      </c>
      <c r="V222" s="219">
        <f ca="1">IF(Tabela_Movimentacao[[#This Row],[Status]]="Cancelado","",IF(Tabela_Movimentacao[[#This Row],[Status]]&lt;&gt;"Pago","",Tabela_Movimentacao[[#This Row],[Valor]]))</f>
        <v>13.88</v>
      </c>
    </row>
    <row r="223" spans="1:22" ht="35.5" hidden="1" customHeight="1" x14ac:dyDescent="0.35">
      <c r="A223" s="222" t="str">
        <f>"E"&amp;ROW()-10</f>
        <v>E213</v>
      </c>
      <c r="B223" s="222" t="str">
        <f t="shared" si="14"/>
        <v>FILE</v>
      </c>
      <c r="C223" s="224" t="s">
        <v>62</v>
      </c>
      <c r="D223" s="225" t="s">
        <v>104</v>
      </c>
      <c r="E223" s="226" t="s">
        <v>59</v>
      </c>
      <c r="F223" s="227" t="s">
        <v>419</v>
      </c>
      <c r="G223" s="228">
        <v>44215</v>
      </c>
      <c r="H223" s="229" t="s">
        <v>64</v>
      </c>
      <c r="I223" s="225" t="s">
        <v>222</v>
      </c>
      <c r="J223" s="225" t="s">
        <v>327</v>
      </c>
      <c r="K223" s="230">
        <v>300</v>
      </c>
      <c r="L223" s="228">
        <v>44215</v>
      </c>
      <c r="M223" s="229" t="s">
        <v>43</v>
      </c>
      <c r="N223" s="229"/>
      <c r="O223" s="228"/>
      <c r="P223" s="228">
        <v>44215</v>
      </c>
      <c r="Q22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44215</v>
      </c>
      <c r="S22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300</v>
      </c>
      <c r="U223" s="235">
        <f ca="1">IF(OR(Tabela_Movimentacao[[#This Row],[Status]]="Em Aberto",Tabela_Movimentacao[[#This Row],[Status]]="Prorrogado"),Tabela_Movimentacao[[#This Row],[Valor]],0)</f>
        <v>0</v>
      </c>
      <c r="V223" s="219">
        <f ca="1">IF(Tabela_Movimentacao[[#This Row],[Status]]="Cancelado","",IF(Tabela_Movimentacao[[#This Row],[Status]]&lt;&gt;"Pago","",Tabela_Movimentacao[[#This Row],[Valor]]))</f>
        <v>300</v>
      </c>
    </row>
    <row r="224" spans="1:22" ht="35.5" hidden="1" customHeight="1" x14ac:dyDescent="0.35">
      <c r="A224" s="222" t="str">
        <f>"E"&amp;ROW()-10</f>
        <v>E214</v>
      </c>
      <c r="B224" s="222" t="str">
        <f t="shared" si="14"/>
        <v>FILE</v>
      </c>
      <c r="C224" s="224" t="s">
        <v>56</v>
      </c>
      <c r="D224" s="225" t="s">
        <v>12</v>
      </c>
      <c r="E224" s="226" t="s">
        <v>55</v>
      </c>
      <c r="F224" s="227" t="s">
        <v>419</v>
      </c>
      <c r="G224" s="228">
        <v>44215</v>
      </c>
      <c r="H224" s="229" t="s">
        <v>64</v>
      </c>
      <c r="I224" s="225" t="s">
        <v>418</v>
      </c>
      <c r="J224" s="225" t="s">
        <v>327</v>
      </c>
      <c r="K224" s="230">
        <v>300</v>
      </c>
      <c r="L224" s="228">
        <v>44215</v>
      </c>
      <c r="M224" s="229" t="s">
        <v>43</v>
      </c>
      <c r="N224" s="229"/>
      <c r="O224" s="228"/>
      <c r="P224" s="228">
        <v>44215</v>
      </c>
      <c r="Q22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44215</v>
      </c>
      <c r="S22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-300</v>
      </c>
      <c r="U224" s="235">
        <f ca="1">IF(OR(Tabela_Movimentacao[[#This Row],[Status]]="Em Aberto",Tabela_Movimentacao[[#This Row],[Status]]="Prorrogado"),Tabela_Movimentacao[[#This Row],[Valor]],0)</f>
        <v>0</v>
      </c>
      <c r="V224" s="219">
        <f ca="1">IF(Tabela_Movimentacao[[#This Row],[Status]]="Cancelado","",IF(Tabela_Movimentacao[[#This Row],[Status]]&lt;&gt;"Pago","",Tabela_Movimentacao[[#This Row],[Valor]]))</f>
        <v>300</v>
      </c>
    </row>
    <row r="225" spans="1:22" ht="35.5" hidden="1" customHeight="1" x14ac:dyDescent="0.35">
      <c r="A225" s="222" t="str">
        <f t="shared" ref="A225:A226" si="21">"E"&amp;ROW()-10</f>
        <v>E215</v>
      </c>
      <c r="B225" s="223" t="str">
        <f t="shared" si="14"/>
        <v>FILE</v>
      </c>
      <c r="C225" s="224" t="s">
        <v>62</v>
      </c>
      <c r="D225" s="225" t="s">
        <v>104</v>
      </c>
      <c r="E225" s="226" t="s">
        <v>59</v>
      </c>
      <c r="F225" s="227" t="s">
        <v>325</v>
      </c>
      <c r="G225" s="228">
        <v>44222</v>
      </c>
      <c r="H225" s="229" t="s">
        <v>65</v>
      </c>
      <c r="I225" s="225" t="s">
        <v>222</v>
      </c>
      <c r="J225" s="225" t="s">
        <v>327</v>
      </c>
      <c r="K225" s="230">
        <v>2950</v>
      </c>
      <c r="L225" s="228">
        <v>44222</v>
      </c>
      <c r="M225" s="229" t="s">
        <v>44</v>
      </c>
      <c r="N225" s="229"/>
      <c r="O225" s="228"/>
      <c r="P225" s="228">
        <v>44222</v>
      </c>
      <c r="Q22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44222</v>
      </c>
      <c r="S22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2950</v>
      </c>
      <c r="U225" s="235">
        <f ca="1">IF(OR(Tabela_Movimentacao[[#This Row],[Status]]="Em Aberto",Tabela_Movimentacao[[#This Row],[Status]]="Prorrogado"),Tabela_Movimentacao[[#This Row],[Valor]],0)</f>
        <v>0</v>
      </c>
      <c r="V225" s="219">
        <f ca="1">IF(Tabela_Movimentacao[[#This Row],[Status]]="Cancelado","",IF(Tabela_Movimentacao[[#This Row],[Status]]&lt;&gt;"Pago","",Tabela_Movimentacao[[#This Row],[Valor]]))</f>
        <v>2950</v>
      </c>
    </row>
    <row r="226" spans="1:22" ht="35.5" hidden="1" customHeight="1" x14ac:dyDescent="0.35">
      <c r="A226" s="222" t="str">
        <f t="shared" si="21"/>
        <v>E216</v>
      </c>
      <c r="B226" s="223" t="str">
        <f t="shared" si="14"/>
        <v>FILE</v>
      </c>
      <c r="C226" s="224" t="s">
        <v>56</v>
      </c>
      <c r="D226" s="225" t="s">
        <v>49</v>
      </c>
      <c r="E226" s="226" t="s">
        <v>48</v>
      </c>
      <c r="F226" s="227" t="s">
        <v>325</v>
      </c>
      <c r="G226" s="228">
        <v>44222</v>
      </c>
      <c r="H226" s="229" t="s">
        <v>65</v>
      </c>
      <c r="I226" s="225" t="s">
        <v>293</v>
      </c>
      <c r="J226" s="225" t="s">
        <v>327</v>
      </c>
      <c r="K226" s="230">
        <v>2950</v>
      </c>
      <c r="L226" s="228">
        <v>44222</v>
      </c>
      <c r="M226" s="229" t="s">
        <v>44</v>
      </c>
      <c r="N226" s="229"/>
      <c r="O226" s="228"/>
      <c r="P226" s="228">
        <v>44222</v>
      </c>
      <c r="Q22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44222</v>
      </c>
      <c r="S22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-2950</v>
      </c>
      <c r="U226" s="235">
        <f ca="1">IF(OR(Tabela_Movimentacao[[#This Row],[Status]]="Em Aberto",Tabela_Movimentacao[[#This Row],[Status]]="Prorrogado"),Tabela_Movimentacao[[#This Row],[Valor]],0)</f>
        <v>0</v>
      </c>
      <c r="V226" s="219">
        <f ca="1">IF(Tabela_Movimentacao[[#This Row],[Status]]="Cancelado","",IF(Tabela_Movimentacao[[#This Row],[Status]]&lt;&gt;"Pago","",Tabela_Movimentacao[[#This Row],[Valor]]))</f>
        <v>2950</v>
      </c>
    </row>
    <row r="227" spans="1:22" ht="35.5" hidden="1" customHeight="1" x14ac:dyDescent="0.35">
      <c r="A227" s="222" t="str">
        <f t="shared" ref="A227:A228" si="22">"E"&amp;ROW()-10</f>
        <v>E217</v>
      </c>
      <c r="B227" s="223" t="str">
        <f t="shared" si="14"/>
        <v>FILE</v>
      </c>
      <c r="C227" s="224" t="s">
        <v>62</v>
      </c>
      <c r="D227" s="225" t="s">
        <v>104</v>
      </c>
      <c r="E227" s="226" t="s">
        <v>59</v>
      </c>
      <c r="F227" s="227" t="s">
        <v>420</v>
      </c>
      <c r="G227" s="228">
        <v>44226</v>
      </c>
      <c r="H227" s="229" t="s">
        <v>63</v>
      </c>
      <c r="I227" s="225" t="s">
        <v>222</v>
      </c>
      <c r="J227" s="225" t="s">
        <v>327</v>
      </c>
      <c r="K227" s="230">
        <v>423.86</v>
      </c>
      <c r="L227" s="228">
        <v>44226</v>
      </c>
      <c r="M227" s="229" t="s">
        <v>105</v>
      </c>
      <c r="N227" s="229"/>
      <c r="O227" s="228"/>
      <c r="P227" s="228">
        <v>44226</v>
      </c>
      <c r="Q22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2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423.86</v>
      </c>
      <c r="U227" s="235">
        <f ca="1">IF(OR(Tabela_Movimentacao[[#This Row],[Status]]="Em Aberto",Tabela_Movimentacao[[#This Row],[Status]]="Prorrogado"),Tabela_Movimentacao[[#This Row],[Valor]],0)</f>
        <v>0</v>
      </c>
      <c r="V227" s="219">
        <f ca="1">IF(Tabela_Movimentacao[[#This Row],[Status]]="Cancelado","",IF(Tabela_Movimentacao[[#This Row],[Status]]&lt;&gt;"Pago","",Tabela_Movimentacao[[#This Row],[Valor]]))</f>
        <v>423.86</v>
      </c>
    </row>
    <row r="228" spans="1:22" ht="35.5" hidden="1" customHeight="1" x14ac:dyDescent="0.35">
      <c r="A228" s="222" t="str">
        <f t="shared" si="22"/>
        <v>E218</v>
      </c>
      <c r="B228" s="223" t="str">
        <f t="shared" si="14"/>
        <v>FILE</v>
      </c>
      <c r="C228" s="224" t="s">
        <v>56</v>
      </c>
      <c r="D228" s="225" t="s">
        <v>13</v>
      </c>
      <c r="E228" s="226" t="s">
        <v>20</v>
      </c>
      <c r="F228" s="227" t="s">
        <v>507</v>
      </c>
      <c r="G228" s="228">
        <v>44226</v>
      </c>
      <c r="H228" s="229" t="s">
        <v>63</v>
      </c>
      <c r="I228" s="225" t="s">
        <v>173</v>
      </c>
      <c r="J228" s="225" t="s">
        <v>327</v>
      </c>
      <c r="K228" s="230">
        <v>423.86</v>
      </c>
      <c r="L228" s="228">
        <v>44226</v>
      </c>
      <c r="M228" s="229" t="s">
        <v>105</v>
      </c>
      <c r="N228" s="229"/>
      <c r="O228" s="228"/>
      <c r="P228" s="228">
        <v>44226</v>
      </c>
      <c r="Q22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2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-423.86</v>
      </c>
      <c r="U228" s="235">
        <f ca="1">IF(OR(Tabela_Movimentacao[[#This Row],[Status]]="Em Aberto",Tabela_Movimentacao[[#This Row],[Status]]="Prorrogado"),Tabela_Movimentacao[[#This Row],[Valor]],0)</f>
        <v>0</v>
      </c>
      <c r="V228" s="219">
        <f ca="1">IF(Tabela_Movimentacao[[#This Row],[Status]]="Cancelado","",IF(Tabela_Movimentacao[[#This Row],[Status]]&lt;&gt;"Pago","",Tabela_Movimentacao[[#This Row],[Valor]]))</f>
        <v>423.86</v>
      </c>
    </row>
    <row r="229" spans="1:22" ht="35.5" hidden="1" customHeight="1" x14ac:dyDescent="0.35">
      <c r="A229" s="222" t="str">
        <f t="shared" ref="A229:A230" si="23">"E"&amp;ROW()-10</f>
        <v>E219</v>
      </c>
      <c r="B229" s="223" t="str">
        <f t="shared" si="14"/>
        <v>FILE</v>
      </c>
      <c r="C229" s="224" t="s">
        <v>62</v>
      </c>
      <c r="D229" s="225" t="s">
        <v>104</v>
      </c>
      <c r="E229" s="226" t="s">
        <v>59</v>
      </c>
      <c r="F229" s="227" t="s">
        <v>421</v>
      </c>
      <c r="G229" s="228">
        <v>44223</v>
      </c>
      <c r="H229" s="229" t="s">
        <v>63</v>
      </c>
      <c r="I229" s="225" t="s">
        <v>222</v>
      </c>
      <c r="J229" s="225" t="s">
        <v>327</v>
      </c>
      <c r="K229" s="230">
        <v>2812.77</v>
      </c>
      <c r="L229" s="228">
        <v>44223</v>
      </c>
      <c r="M229" s="229" t="s">
        <v>47</v>
      </c>
      <c r="N229" s="229"/>
      <c r="O229" s="228"/>
      <c r="P229" s="228">
        <v>44223</v>
      </c>
      <c r="Q22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2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44223</v>
      </c>
      <c r="S22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2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2812.77</v>
      </c>
      <c r="U229" s="235">
        <f ca="1">IF(OR(Tabela_Movimentacao[[#This Row],[Status]]="Em Aberto",Tabela_Movimentacao[[#This Row],[Status]]="Prorrogado"),Tabela_Movimentacao[[#This Row],[Valor]],0)</f>
        <v>0</v>
      </c>
      <c r="V229" s="219">
        <f ca="1">IF(Tabela_Movimentacao[[#This Row],[Status]]="Cancelado","",IF(Tabela_Movimentacao[[#This Row],[Status]]&lt;&gt;"Pago","",Tabela_Movimentacao[[#This Row],[Valor]]))</f>
        <v>2812.77</v>
      </c>
    </row>
    <row r="230" spans="1:22" ht="35.5" hidden="1" customHeight="1" x14ac:dyDescent="0.35">
      <c r="A230" s="222" t="str">
        <f t="shared" si="23"/>
        <v>E220</v>
      </c>
      <c r="B230" s="223" t="str">
        <f t="shared" si="14"/>
        <v>FILE</v>
      </c>
      <c r="C230" s="224" t="s">
        <v>56</v>
      </c>
      <c r="D230" s="225" t="s">
        <v>49</v>
      </c>
      <c r="E230" s="226" t="s">
        <v>50</v>
      </c>
      <c r="F230" s="227" t="s">
        <v>421</v>
      </c>
      <c r="G230" s="228">
        <v>44223</v>
      </c>
      <c r="H230" s="229" t="s">
        <v>63</v>
      </c>
      <c r="I230" s="225" t="s">
        <v>329</v>
      </c>
      <c r="J230" s="225" t="s">
        <v>327</v>
      </c>
      <c r="K230" s="230">
        <v>2812.77</v>
      </c>
      <c r="L230" s="228">
        <v>44223</v>
      </c>
      <c r="M230" s="229" t="s">
        <v>47</v>
      </c>
      <c r="N230" s="229"/>
      <c r="O230" s="228"/>
      <c r="P230" s="228">
        <v>44223</v>
      </c>
      <c r="Q23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44223</v>
      </c>
      <c r="S23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3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-2812.77</v>
      </c>
      <c r="U230" s="235">
        <f ca="1">IF(OR(Tabela_Movimentacao[[#This Row],[Status]]="Em Aberto",Tabela_Movimentacao[[#This Row],[Status]]="Prorrogado"),Tabela_Movimentacao[[#This Row],[Valor]],0)</f>
        <v>0</v>
      </c>
      <c r="V230" s="219">
        <f ca="1">IF(Tabela_Movimentacao[[#This Row],[Status]]="Cancelado","",IF(Tabela_Movimentacao[[#This Row],[Status]]&lt;&gt;"Pago","",Tabela_Movimentacao[[#This Row],[Valor]]))</f>
        <v>2812.77</v>
      </c>
    </row>
    <row r="231" spans="1:22" ht="35.5" hidden="1" customHeight="1" x14ac:dyDescent="0.35">
      <c r="A231" s="222" t="str">
        <f t="shared" ref="A231:A232" si="24">"E"&amp;ROW()-10</f>
        <v>E221</v>
      </c>
      <c r="B231" s="223" t="str">
        <f t="shared" si="14"/>
        <v>FILE</v>
      </c>
      <c r="C231" s="224" t="s">
        <v>62</v>
      </c>
      <c r="D231" s="225" t="s">
        <v>104</v>
      </c>
      <c r="E231" s="226" t="s">
        <v>59</v>
      </c>
      <c r="F231" s="227" t="s">
        <v>422</v>
      </c>
      <c r="G231" s="228">
        <v>44225</v>
      </c>
      <c r="H231" s="229" t="s">
        <v>64</v>
      </c>
      <c r="I231" s="225" t="s">
        <v>222</v>
      </c>
      <c r="J231" s="225" t="s">
        <v>327</v>
      </c>
      <c r="K231" s="230">
        <v>4000</v>
      </c>
      <c r="L231" s="228">
        <v>44225</v>
      </c>
      <c r="M231" s="229" t="s">
        <v>47</v>
      </c>
      <c r="N231" s="229"/>
      <c r="O231" s="228"/>
      <c r="P231" s="228">
        <v>44225</v>
      </c>
      <c r="Q23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44225</v>
      </c>
      <c r="S23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3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4000</v>
      </c>
      <c r="U231" s="235">
        <f ca="1">IF(OR(Tabela_Movimentacao[[#This Row],[Status]]="Em Aberto",Tabela_Movimentacao[[#This Row],[Status]]="Prorrogado"),Tabela_Movimentacao[[#This Row],[Valor]],0)</f>
        <v>0</v>
      </c>
      <c r="V231" s="219">
        <f ca="1">IF(Tabela_Movimentacao[[#This Row],[Status]]="Cancelado","",IF(Tabela_Movimentacao[[#This Row],[Status]]&lt;&gt;"Pago","",Tabela_Movimentacao[[#This Row],[Valor]]))</f>
        <v>4000</v>
      </c>
    </row>
    <row r="232" spans="1:22" ht="35.5" hidden="1" customHeight="1" x14ac:dyDescent="0.35">
      <c r="A232" s="222" t="str">
        <f t="shared" si="24"/>
        <v>E222</v>
      </c>
      <c r="B232" s="223" t="str">
        <f t="shared" si="14"/>
        <v>FILE</v>
      </c>
      <c r="C232" s="224" t="s">
        <v>56</v>
      </c>
      <c r="D232" s="225" t="s">
        <v>49</v>
      </c>
      <c r="E232" s="226" t="s">
        <v>50</v>
      </c>
      <c r="F232" s="227" t="s">
        <v>422</v>
      </c>
      <c r="G232" s="228">
        <v>44225</v>
      </c>
      <c r="H232" s="229" t="s">
        <v>64</v>
      </c>
      <c r="I232" s="225" t="s">
        <v>329</v>
      </c>
      <c r="J232" s="225" t="s">
        <v>327</v>
      </c>
      <c r="K232" s="230">
        <v>4000</v>
      </c>
      <c r="L232" s="228">
        <v>44225</v>
      </c>
      <c r="M232" s="229" t="s">
        <v>47</v>
      </c>
      <c r="N232" s="229"/>
      <c r="O232" s="228"/>
      <c r="P232" s="228">
        <v>44225</v>
      </c>
      <c r="Q23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44225</v>
      </c>
      <c r="S23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3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-4000</v>
      </c>
      <c r="U232" s="235">
        <f ca="1">IF(OR(Tabela_Movimentacao[[#This Row],[Status]]="Em Aberto",Tabela_Movimentacao[[#This Row],[Status]]="Prorrogado"),Tabela_Movimentacao[[#This Row],[Valor]],0)</f>
        <v>0</v>
      </c>
      <c r="V232" s="219">
        <f ca="1">IF(Tabela_Movimentacao[[#This Row],[Status]]="Cancelado","",IF(Tabela_Movimentacao[[#This Row],[Status]]&lt;&gt;"Pago","",Tabela_Movimentacao[[#This Row],[Valor]]))</f>
        <v>4000</v>
      </c>
    </row>
    <row r="233" spans="1:22" ht="35.5" hidden="1" customHeight="1" x14ac:dyDescent="0.35">
      <c r="A233" s="222" t="str">
        <f t="shared" ref="A233:A234" si="25">"E"&amp;ROW()-10</f>
        <v>E223</v>
      </c>
      <c r="B233" s="223" t="str">
        <f t="shared" si="14"/>
        <v>FILE</v>
      </c>
      <c r="C233" s="224" t="s">
        <v>62</v>
      </c>
      <c r="D233" s="225" t="s">
        <v>104</v>
      </c>
      <c r="E233" s="226" t="s">
        <v>59</v>
      </c>
      <c r="F233" s="227" t="s">
        <v>421</v>
      </c>
      <c r="G233" s="228">
        <v>44225</v>
      </c>
      <c r="H233" s="229" t="s">
        <v>65</v>
      </c>
      <c r="I233" s="225" t="s">
        <v>222</v>
      </c>
      <c r="J233" s="225" t="s">
        <v>327</v>
      </c>
      <c r="K233" s="230">
        <v>2812.77</v>
      </c>
      <c r="L233" s="228">
        <v>44225</v>
      </c>
      <c r="M233" s="229" t="s">
        <v>47</v>
      </c>
      <c r="N233" s="229"/>
      <c r="O233" s="228"/>
      <c r="P233" s="228">
        <v>44225</v>
      </c>
      <c r="Q23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44225</v>
      </c>
      <c r="S23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3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2812.77</v>
      </c>
      <c r="U233" s="235">
        <f ca="1">IF(OR(Tabela_Movimentacao[[#This Row],[Status]]="Em Aberto",Tabela_Movimentacao[[#This Row],[Status]]="Prorrogado"),Tabela_Movimentacao[[#This Row],[Valor]],0)</f>
        <v>0</v>
      </c>
      <c r="V233" s="219">
        <f ca="1">IF(Tabela_Movimentacao[[#This Row],[Status]]="Cancelado","",IF(Tabela_Movimentacao[[#This Row],[Status]]&lt;&gt;"Pago","",Tabela_Movimentacao[[#This Row],[Valor]]))</f>
        <v>2812.77</v>
      </c>
    </row>
    <row r="234" spans="1:22" ht="35.5" hidden="1" customHeight="1" x14ac:dyDescent="0.35">
      <c r="A234" s="222" t="str">
        <f t="shared" si="25"/>
        <v>E224</v>
      </c>
      <c r="B234" s="223" t="str">
        <f t="shared" si="14"/>
        <v>FILE</v>
      </c>
      <c r="C234" s="224" t="s">
        <v>56</v>
      </c>
      <c r="D234" s="225" t="s">
        <v>49</v>
      </c>
      <c r="E234" s="226" t="s">
        <v>50</v>
      </c>
      <c r="F234" s="227" t="s">
        <v>421</v>
      </c>
      <c r="G234" s="228">
        <v>44225</v>
      </c>
      <c r="H234" s="229" t="s">
        <v>65</v>
      </c>
      <c r="I234" s="225" t="s">
        <v>329</v>
      </c>
      <c r="J234" s="225" t="s">
        <v>327</v>
      </c>
      <c r="K234" s="230">
        <v>2812.77</v>
      </c>
      <c r="L234" s="228">
        <v>44225</v>
      </c>
      <c r="M234" s="229" t="s">
        <v>47</v>
      </c>
      <c r="N234" s="229"/>
      <c r="O234" s="228"/>
      <c r="P234" s="228">
        <v>44225</v>
      </c>
      <c r="Q23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44225</v>
      </c>
      <c r="S23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3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-2812.77</v>
      </c>
      <c r="U234" s="235">
        <f ca="1">IF(OR(Tabela_Movimentacao[[#This Row],[Status]]="Em Aberto",Tabela_Movimentacao[[#This Row],[Status]]="Prorrogado"),Tabela_Movimentacao[[#This Row],[Valor]],0)</f>
        <v>0</v>
      </c>
      <c r="V234" s="219">
        <f ca="1">IF(Tabela_Movimentacao[[#This Row],[Status]]="Cancelado","",IF(Tabela_Movimentacao[[#This Row],[Status]]&lt;&gt;"Pago","",Tabela_Movimentacao[[#This Row],[Valor]]))</f>
        <v>2812.77</v>
      </c>
    </row>
    <row r="235" spans="1:22" ht="35.5" hidden="1" customHeight="1" x14ac:dyDescent="0.35">
      <c r="A235" s="222" t="str">
        <f t="shared" ref="A235:A240" si="26">"E"&amp;ROW()-10</f>
        <v>E225</v>
      </c>
      <c r="B235" s="222" t="str">
        <f t="shared" si="14"/>
        <v>FILE</v>
      </c>
      <c r="C235" s="224" t="s">
        <v>62</v>
      </c>
      <c r="D235" s="225" t="s">
        <v>104</v>
      </c>
      <c r="E235" s="226" t="s">
        <v>59</v>
      </c>
      <c r="F235" s="227" t="s">
        <v>423</v>
      </c>
      <c r="G235" s="228">
        <v>44225</v>
      </c>
      <c r="H235" s="229" t="s">
        <v>64</v>
      </c>
      <c r="I235" s="225" t="s">
        <v>222</v>
      </c>
      <c r="J235" s="225" t="s">
        <v>327</v>
      </c>
      <c r="K235" s="230">
        <v>1328.7199999999993</v>
      </c>
      <c r="L235" s="228">
        <v>44228</v>
      </c>
      <c r="M235" s="229" t="s">
        <v>47</v>
      </c>
      <c r="N235" s="229"/>
      <c r="O235" s="228"/>
      <c r="P235" s="228">
        <v>44228</v>
      </c>
      <c r="Q23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3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3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1328.7199999999993</v>
      </c>
      <c r="U235" s="235">
        <f ca="1">IF(OR(Tabela_Movimentacao[[#This Row],[Status]]="Em Aberto",Tabela_Movimentacao[[#This Row],[Status]]="Prorrogado"),Tabela_Movimentacao[[#This Row],[Valor]],0)</f>
        <v>0</v>
      </c>
      <c r="V235" s="219">
        <f ca="1">IF(Tabela_Movimentacao[[#This Row],[Status]]="Cancelado","",IF(Tabela_Movimentacao[[#This Row],[Status]]&lt;&gt;"Pago","",Tabela_Movimentacao[[#This Row],[Valor]]))</f>
        <v>1328.7199999999993</v>
      </c>
    </row>
    <row r="236" spans="1:22" ht="35.5" hidden="1" customHeight="1" x14ac:dyDescent="0.35">
      <c r="A236" s="222" t="str">
        <f t="shared" si="26"/>
        <v>E226</v>
      </c>
      <c r="B236" s="222" t="str">
        <f t="shared" si="14"/>
        <v>FILE</v>
      </c>
      <c r="C236" s="224" t="s">
        <v>56</v>
      </c>
      <c r="D236" s="225" t="s">
        <v>49</v>
      </c>
      <c r="E236" s="226" t="s">
        <v>48</v>
      </c>
      <c r="F236" s="227" t="s">
        <v>423</v>
      </c>
      <c r="G236" s="228">
        <v>44225</v>
      </c>
      <c r="H236" s="229" t="s">
        <v>64</v>
      </c>
      <c r="I236" s="225" t="s">
        <v>329</v>
      </c>
      <c r="J236" s="225" t="s">
        <v>327</v>
      </c>
      <c r="K236" s="230">
        <v>1328.7199999999993</v>
      </c>
      <c r="L236" s="228">
        <v>44228</v>
      </c>
      <c r="M236" s="229" t="s">
        <v>47</v>
      </c>
      <c r="N236" s="229"/>
      <c r="O236" s="228"/>
      <c r="P236" s="228">
        <v>44228</v>
      </c>
      <c r="Q23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3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3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-1328.7199999999993</v>
      </c>
      <c r="U236" s="235">
        <f ca="1">IF(OR(Tabela_Movimentacao[[#This Row],[Status]]="Em Aberto",Tabela_Movimentacao[[#This Row],[Status]]="Prorrogado"),Tabela_Movimentacao[[#This Row],[Valor]],0)</f>
        <v>0</v>
      </c>
      <c r="V236" s="219">
        <f ca="1">IF(Tabela_Movimentacao[[#This Row],[Status]]="Cancelado","",IF(Tabela_Movimentacao[[#This Row],[Status]]&lt;&gt;"Pago","",Tabela_Movimentacao[[#This Row],[Valor]]))</f>
        <v>1328.7199999999993</v>
      </c>
    </row>
    <row r="237" spans="1:22" ht="35.5" hidden="1" customHeight="1" x14ac:dyDescent="0.35">
      <c r="A237" s="222" t="str">
        <f t="shared" si="26"/>
        <v>E227</v>
      </c>
      <c r="B237" s="223" t="str">
        <f t="shared" si="14"/>
        <v>FILE</v>
      </c>
      <c r="C237" s="224" t="s">
        <v>62</v>
      </c>
      <c r="D237" s="225" t="s">
        <v>104</v>
      </c>
      <c r="E237" s="226" t="s">
        <v>59</v>
      </c>
      <c r="F237" s="227" t="s">
        <v>425</v>
      </c>
      <c r="G237" s="228">
        <v>44230</v>
      </c>
      <c r="H237" s="229" t="s">
        <v>64</v>
      </c>
      <c r="I237" s="225" t="s">
        <v>222</v>
      </c>
      <c r="J237" s="225" t="s">
        <v>327</v>
      </c>
      <c r="K237" s="230">
        <v>1750</v>
      </c>
      <c r="L237" s="228">
        <v>44230</v>
      </c>
      <c r="M237" s="229" t="s">
        <v>47</v>
      </c>
      <c r="N237" s="229"/>
      <c r="O237" s="228"/>
      <c r="P237" s="228">
        <v>44230</v>
      </c>
      <c r="Q23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3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3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1750</v>
      </c>
      <c r="U237" s="235">
        <f ca="1">IF(OR(Tabela_Movimentacao[[#This Row],[Status]]="Em Aberto",Tabela_Movimentacao[[#This Row],[Status]]="Prorrogado"),Tabela_Movimentacao[[#This Row],[Valor]],0)</f>
        <v>0</v>
      </c>
      <c r="V237" s="219">
        <f ca="1">IF(Tabela_Movimentacao[[#This Row],[Status]]="Cancelado","",IF(Tabela_Movimentacao[[#This Row],[Status]]&lt;&gt;"Pago","",Tabela_Movimentacao[[#This Row],[Valor]]))</f>
        <v>1750</v>
      </c>
    </row>
    <row r="238" spans="1:22" ht="35.5" hidden="1" customHeight="1" x14ac:dyDescent="0.35">
      <c r="A238" s="222" t="str">
        <f t="shared" si="26"/>
        <v>E228</v>
      </c>
      <c r="B238" s="223" t="str">
        <f t="shared" si="14"/>
        <v>FILE</v>
      </c>
      <c r="C238" s="224" t="s">
        <v>56</v>
      </c>
      <c r="D238" s="225" t="s">
        <v>12</v>
      </c>
      <c r="E238" s="226" t="s">
        <v>55</v>
      </c>
      <c r="F238" s="227" t="s">
        <v>425</v>
      </c>
      <c r="G238" s="228">
        <v>44230</v>
      </c>
      <c r="H238" s="229" t="s">
        <v>64</v>
      </c>
      <c r="I238" s="225" t="s">
        <v>424</v>
      </c>
      <c r="J238" s="225" t="s">
        <v>327</v>
      </c>
      <c r="K238" s="230">
        <v>1750</v>
      </c>
      <c r="L238" s="228">
        <v>44230</v>
      </c>
      <c r="M238" s="229" t="s">
        <v>47</v>
      </c>
      <c r="N238" s="229"/>
      <c r="O238" s="228"/>
      <c r="P238" s="228">
        <v>44230</v>
      </c>
      <c r="Q23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3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3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-1750</v>
      </c>
      <c r="U238" s="235">
        <f ca="1">IF(OR(Tabela_Movimentacao[[#This Row],[Status]]="Em Aberto",Tabela_Movimentacao[[#This Row],[Status]]="Prorrogado"),Tabela_Movimentacao[[#This Row],[Valor]],0)</f>
        <v>0</v>
      </c>
      <c r="V238" s="219">
        <f ca="1">IF(Tabela_Movimentacao[[#This Row],[Status]]="Cancelado","",IF(Tabela_Movimentacao[[#This Row],[Status]]&lt;&gt;"Pago","",Tabela_Movimentacao[[#This Row],[Valor]]))</f>
        <v>1750</v>
      </c>
    </row>
    <row r="239" spans="1:22" ht="35.5" hidden="1" customHeight="1" x14ac:dyDescent="0.35">
      <c r="A239" s="222" t="str">
        <f t="shared" si="26"/>
        <v>E229</v>
      </c>
      <c r="B239" s="223" t="str">
        <f t="shared" si="14"/>
        <v>FILE</v>
      </c>
      <c r="C239" s="224" t="s">
        <v>62</v>
      </c>
      <c r="D239" s="225" t="s">
        <v>104</v>
      </c>
      <c r="E239" s="226" t="s">
        <v>59</v>
      </c>
      <c r="F239" s="227" t="s">
        <v>426</v>
      </c>
      <c r="G239" s="228">
        <v>44228</v>
      </c>
      <c r="H239" s="229" t="s">
        <v>64</v>
      </c>
      <c r="I239" s="225" t="s">
        <v>222</v>
      </c>
      <c r="J239" s="225" t="s">
        <v>327</v>
      </c>
      <c r="K239" s="230">
        <v>112</v>
      </c>
      <c r="L239" s="228">
        <v>44228</v>
      </c>
      <c r="M239" s="229" t="s">
        <v>105</v>
      </c>
      <c r="N239" s="229"/>
      <c r="O239" s="228"/>
      <c r="P239" s="228">
        <v>44228</v>
      </c>
      <c r="Q23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3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3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3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112</v>
      </c>
      <c r="U239" s="235">
        <f ca="1">IF(OR(Tabela_Movimentacao[[#This Row],[Status]]="Em Aberto",Tabela_Movimentacao[[#This Row],[Status]]="Prorrogado"),Tabela_Movimentacao[[#This Row],[Valor]],0)</f>
        <v>0</v>
      </c>
      <c r="V239" s="219">
        <f ca="1">IF(Tabela_Movimentacao[[#This Row],[Status]]="Cancelado","",IF(Tabela_Movimentacao[[#This Row],[Status]]&lt;&gt;"Pago","",Tabela_Movimentacao[[#This Row],[Valor]]))</f>
        <v>112</v>
      </c>
    </row>
    <row r="240" spans="1:22" ht="35.5" hidden="1" customHeight="1" x14ac:dyDescent="0.35">
      <c r="A240" s="222" t="str">
        <f t="shared" si="26"/>
        <v>E230</v>
      </c>
      <c r="B240" s="223" t="str">
        <f t="shared" si="14"/>
        <v>FILE</v>
      </c>
      <c r="C240" s="224" t="s">
        <v>56</v>
      </c>
      <c r="D240" s="225" t="s">
        <v>12</v>
      </c>
      <c r="E240" s="226" t="s">
        <v>55</v>
      </c>
      <c r="F240" s="227" t="s">
        <v>426</v>
      </c>
      <c r="G240" s="228">
        <v>44228</v>
      </c>
      <c r="H240" s="229" t="s">
        <v>64</v>
      </c>
      <c r="I240" s="225" t="s">
        <v>67</v>
      </c>
      <c r="J240" s="225" t="s">
        <v>327</v>
      </c>
      <c r="K240" s="230">
        <v>112</v>
      </c>
      <c r="L240" s="228">
        <v>44228</v>
      </c>
      <c r="M240" s="229" t="s">
        <v>105</v>
      </c>
      <c r="N240" s="229"/>
      <c r="O240" s="228"/>
      <c r="P240" s="228">
        <v>44228</v>
      </c>
      <c r="Q24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44228</v>
      </c>
      <c r="S24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-112</v>
      </c>
      <c r="U240" s="235">
        <f ca="1">IF(OR(Tabela_Movimentacao[[#This Row],[Status]]="Em Aberto",Tabela_Movimentacao[[#This Row],[Status]]="Prorrogado"),Tabela_Movimentacao[[#This Row],[Valor]],0)</f>
        <v>0</v>
      </c>
      <c r="V240" s="219">
        <f ca="1">IF(Tabela_Movimentacao[[#This Row],[Status]]="Cancelado","",IF(Tabela_Movimentacao[[#This Row],[Status]]&lt;&gt;"Pago","",Tabela_Movimentacao[[#This Row],[Valor]]))</f>
        <v>112</v>
      </c>
    </row>
    <row r="241" spans="1:22" ht="35.5" hidden="1" customHeight="1" x14ac:dyDescent="0.35">
      <c r="A241" s="222" t="str">
        <f t="shared" ref="A241:A248" si="27">"E"&amp;ROW()-10</f>
        <v>E231</v>
      </c>
      <c r="B241" s="223" t="str">
        <f t="shared" si="14"/>
        <v>FILE</v>
      </c>
      <c r="C241" s="224" t="s">
        <v>62</v>
      </c>
      <c r="D241" s="225" t="s">
        <v>104</v>
      </c>
      <c r="E241" s="226" t="s">
        <v>59</v>
      </c>
      <c r="F241" s="227" t="s">
        <v>417</v>
      </c>
      <c r="G241" s="228">
        <v>44211</v>
      </c>
      <c r="H241" s="229" t="s">
        <v>63</v>
      </c>
      <c r="I241" s="225" t="s">
        <v>222</v>
      </c>
      <c r="J241" s="225" t="s">
        <v>327</v>
      </c>
      <c r="K241" s="230">
        <v>4367.6099999999997</v>
      </c>
      <c r="L241" s="228">
        <v>44215</v>
      </c>
      <c r="M241" s="229" t="s">
        <v>47</v>
      </c>
      <c r="N241" s="229"/>
      <c r="O241" s="228"/>
      <c r="P241" s="228">
        <v>44215</v>
      </c>
      <c r="Q24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44215</v>
      </c>
      <c r="S24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4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4367.6099999999997</v>
      </c>
      <c r="U241" s="235">
        <f ca="1">IF(OR(Tabela_Movimentacao[[#This Row],[Status]]="Em Aberto",Tabela_Movimentacao[[#This Row],[Status]]="Prorrogado"),Tabela_Movimentacao[[#This Row],[Valor]],0)</f>
        <v>0</v>
      </c>
      <c r="V241" s="219">
        <f ca="1">IF(Tabela_Movimentacao[[#This Row],[Status]]="Cancelado","",IF(Tabela_Movimentacao[[#This Row],[Status]]&lt;&gt;"Pago","",Tabela_Movimentacao[[#This Row],[Valor]]))</f>
        <v>4367.6099999999997</v>
      </c>
    </row>
    <row r="242" spans="1:22" ht="35.5" hidden="1" customHeight="1" x14ac:dyDescent="0.35">
      <c r="A242" s="222" t="str">
        <f t="shared" si="27"/>
        <v>E232</v>
      </c>
      <c r="B242" s="223" t="str">
        <f t="shared" si="14"/>
        <v>FILE</v>
      </c>
      <c r="C242" s="224" t="s">
        <v>56</v>
      </c>
      <c r="D242" s="225" t="s">
        <v>49</v>
      </c>
      <c r="E242" s="226" t="s">
        <v>48</v>
      </c>
      <c r="F242" s="227" t="s">
        <v>417</v>
      </c>
      <c r="G242" s="228">
        <v>44211</v>
      </c>
      <c r="H242" s="229" t="s">
        <v>63</v>
      </c>
      <c r="I242" s="225" t="s">
        <v>329</v>
      </c>
      <c r="J242" s="225" t="s">
        <v>327</v>
      </c>
      <c r="K242" s="230">
        <v>4367.6099999999997</v>
      </c>
      <c r="L242" s="228">
        <v>44215</v>
      </c>
      <c r="M242" s="229" t="s">
        <v>47</v>
      </c>
      <c r="N242" s="229"/>
      <c r="O242" s="228"/>
      <c r="P242" s="228">
        <v>44215</v>
      </c>
      <c r="Q24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44215</v>
      </c>
      <c r="S24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4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-4367.6099999999997</v>
      </c>
      <c r="U242" s="235">
        <f ca="1">IF(OR(Tabela_Movimentacao[[#This Row],[Status]]="Em Aberto",Tabela_Movimentacao[[#This Row],[Status]]="Prorrogado"),Tabela_Movimentacao[[#This Row],[Valor]],0)</f>
        <v>0</v>
      </c>
      <c r="V242" s="219">
        <f ca="1">IF(Tabela_Movimentacao[[#This Row],[Status]]="Cancelado","",IF(Tabela_Movimentacao[[#This Row],[Status]]&lt;&gt;"Pago","",Tabela_Movimentacao[[#This Row],[Valor]]))</f>
        <v>4367.6099999999997</v>
      </c>
    </row>
    <row r="243" spans="1:22" ht="35.5" hidden="1" customHeight="1" x14ac:dyDescent="0.35">
      <c r="A243" s="222" t="str">
        <f t="shared" si="27"/>
        <v>E233</v>
      </c>
      <c r="B243" s="223" t="str">
        <f t="shared" si="14"/>
        <v>FILE</v>
      </c>
      <c r="C243" s="224" t="s">
        <v>62</v>
      </c>
      <c r="D243" s="225" t="s">
        <v>104</v>
      </c>
      <c r="E243" s="226" t="s">
        <v>59</v>
      </c>
      <c r="F243" s="227" t="s">
        <v>427</v>
      </c>
      <c r="G243" s="228">
        <v>44211</v>
      </c>
      <c r="H243" s="229" t="s">
        <v>64</v>
      </c>
      <c r="I243" s="225" t="s">
        <v>222</v>
      </c>
      <c r="J243" s="225" t="s">
        <v>327</v>
      </c>
      <c r="K243" s="230">
        <v>6795.29</v>
      </c>
      <c r="L243" s="228">
        <v>44217</v>
      </c>
      <c r="M243" s="229" t="s">
        <v>47</v>
      </c>
      <c r="N243" s="229"/>
      <c r="O243" s="228"/>
      <c r="P243" s="228">
        <v>44217</v>
      </c>
      <c r="Q24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44217</v>
      </c>
      <c r="S24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4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6795.29</v>
      </c>
      <c r="U243" s="235">
        <f ca="1">IF(OR(Tabela_Movimentacao[[#This Row],[Status]]="Em Aberto",Tabela_Movimentacao[[#This Row],[Status]]="Prorrogado"),Tabela_Movimentacao[[#This Row],[Valor]],0)</f>
        <v>0</v>
      </c>
      <c r="V243" s="219">
        <f ca="1">IF(Tabela_Movimentacao[[#This Row],[Status]]="Cancelado","",IF(Tabela_Movimentacao[[#This Row],[Status]]&lt;&gt;"Pago","",Tabela_Movimentacao[[#This Row],[Valor]]))</f>
        <v>6795.29</v>
      </c>
    </row>
    <row r="244" spans="1:22" ht="35.5" hidden="1" customHeight="1" x14ac:dyDescent="0.35">
      <c r="A244" s="222" t="str">
        <f t="shared" si="27"/>
        <v>E234</v>
      </c>
      <c r="B244" s="223" t="str">
        <f t="shared" si="14"/>
        <v>FILE</v>
      </c>
      <c r="C244" s="224" t="s">
        <v>56</v>
      </c>
      <c r="D244" s="225" t="s">
        <v>49</v>
      </c>
      <c r="E244" s="226" t="s">
        <v>48</v>
      </c>
      <c r="F244" s="227" t="s">
        <v>427</v>
      </c>
      <c r="G244" s="228">
        <v>44211</v>
      </c>
      <c r="H244" s="229" t="s">
        <v>64</v>
      </c>
      <c r="I244" s="225" t="s">
        <v>329</v>
      </c>
      <c r="J244" s="225" t="s">
        <v>327</v>
      </c>
      <c r="K244" s="230">
        <v>6795.29</v>
      </c>
      <c r="L244" s="228">
        <v>44217</v>
      </c>
      <c r="M244" s="229" t="s">
        <v>47</v>
      </c>
      <c r="N244" s="229"/>
      <c r="O244" s="228"/>
      <c r="P244" s="228">
        <v>44217</v>
      </c>
      <c r="Q24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44217</v>
      </c>
      <c r="S24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24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-6795.29</v>
      </c>
      <c r="U244" s="235">
        <f ca="1">IF(OR(Tabela_Movimentacao[[#This Row],[Status]]="Em Aberto",Tabela_Movimentacao[[#This Row],[Status]]="Prorrogado"),Tabela_Movimentacao[[#This Row],[Valor]],0)</f>
        <v>0</v>
      </c>
      <c r="V244" s="219">
        <f ca="1">IF(Tabela_Movimentacao[[#This Row],[Status]]="Cancelado","",IF(Tabela_Movimentacao[[#This Row],[Status]]&lt;&gt;"Pago","",Tabela_Movimentacao[[#This Row],[Valor]]))</f>
        <v>6795.29</v>
      </c>
    </row>
    <row r="245" spans="1:22" ht="35.5" hidden="1" customHeight="1" x14ac:dyDescent="0.35">
      <c r="A245" s="222" t="str">
        <f t="shared" si="27"/>
        <v>E235</v>
      </c>
      <c r="B245" s="223" t="str">
        <f t="shared" si="14"/>
        <v>FILE</v>
      </c>
      <c r="C245" s="224" t="s">
        <v>62</v>
      </c>
      <c r="D245" s="225" t="s">
        <v>104</v>
      </c>
      <c r="E245" s="226" t="s">
        <v>59</v>
      </c>
      <c r="F245" s="227" t="s">
        <v>428</v>
      </c>
      <c r="G245" s="228">
        <v>44236</v>
      </c>
      <c r="H245" s="229" t="s">
        <v>65</v>
      </c>
      <c r="I245" s="225" t="s">
        <v>222</v>
      </c>
      <c r="J245" s="225" t="s">
        <v>327</v>
      </c>
      <c r="K245" s="230">
        <v>13232.21</v>
      </c>
      <c r="L245" s="228">
        <v>44236</v>
      </c>
      <c r="M245" s="229" t="s">
        <v>47</v>
      </c>
      <c r="N245" s="229"/>
      <c r="O245" s="228"/>
      <c r="P245" s="228">
        <v>44236</v>
      </c>
      <c r="Q24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44236</v>
      </c>
      <c r="S24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13232.21</v>
      </c>
      <c r="U245" s="235">
        <f ca="1">IF(OR(Tabela_Movimentacao[[#This Row],[Status]]="Em Aberto",Tabela_Movimentacao[[#This Row],[Status]]="Prorrogado"),Tabela_Movimentacao[[#This Row],[Valor]],0)</f>
        <v>0</v>
      </c>
      <c r="V245" s="219">
        <f ca="1">IF(Tabela_Movimentacao[[#This Row],[Status]]="Cancelado","",IF(Tabela_Movimentacao[[#This Row],[Status]]&lt;&gt;"Pago","",Tabela_Movimentacao[[#This Row],[Valor]]))</f>
        <v>13232.21</v>
      </c>
    </row>
    <row r="246" spans="1:22" ht="35.5" hidden="1" customHeight="1" x14ac:dyDescent="0.35">
      <c r="A246" s="222" t="str">
        <f t="shared" si="27"/>
        <v>E236</v>
      </c>
      <c r="B246" s="223" t="str">
        <f t="shared" si="14"/>
        <v>FILE</v>
      </c>
      <c r="C246" s="224" t="s">
        <v>56</v>
      </c>
      <c r="D246" s="225" t="s">
        <v>49</v>
      </c>
      <c r="E246" s="226" t="s">
        <v>48</v>
      </c>
      <c r="F246" s="227" t="s">
        <v>428</v>
      </c>
      <c r="G246" s="228">
        <v>44236</v>
      </c>
      <c r="H246" s="229" t="s">
        <v>65</v>
      </c>
      <c r="I246" s="225" t="s">
        <v>329</v>
      </c>
      <c r="J246" s="225" t="s">
        <v>327</v>
      </c>
      <c r="K246" s="230">
        <v>13232.21</v>
      </c>
      <c r="L246" s="228">
        <v>44236</v>
      </c>
      <c r="M246" s="229" t="s">
        <v>47</v>
      </c>
      <c r="N246" s="229"/>
      <c r="O246" s="228"/>
      <c r="P246" s="228">
        <v>44236</v>
      </c>
      <c r="Q24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44236</v>
      </c>
      <c r="S24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-13232.21</v>
      </c>
      <c r="U246" s="235">
        <f ca="1">IF(OR(Tabela_Movimentacao[[#This Row],[Status]]="Em Aberto",Tabela_Movimentacao[[#This Row],[Status]]="Prorrogado"),Tabela_Movimentacao[[#This Row],[Valor]],0)</f>
        <v>0</v>
      </c>
      <c r="V246" s="219">
        <f ca="1">IF(Tabela_Movimentacao[[#This Row],[Status]]="Cancelado","",IF(Tabela_Movimentacao[[#This Row],[Status]]&lt;&gt;"Pago","",Tabela_Movimentacao[[#This Row],[Valor]]))</f>
        <v>13232.21</v>
      </c>
    </row>
    <row r="247" spans="1:22" ht="35.5" hidden="1" customHeight="1" x14ac:dyDescent="0.35">
      <c r="A247" s="222" t="str">
        <f t="shared" si="27"/>
        <v>E237</v>
      </c>
      <c r="B247" s="223" t="str">
        <f t="shared" si="14"/>
        <v>FILE</v>
      </c>
      <c r="C247" s="224" t="s">
        <v>62</v>
      </c>
      <c r="D247" s="225" t="s">
        <v>104</v>
      </c>
      <c r="E247" s="226" t="s">
        <v>59</v>
      </c>
      <c r="F247" s="227" t="s">
        <v>428</v>
      </c>
      <c r="G247" s="228">
        <v>44235</v>
      </c>
      <c r="H247" s="229" t="s">
        <v>63</v>
      </c>
      <c r="I247" s="225" t="s">
        <v>222</v>
      </c>
      <c r="J247" s="225" t="s">
        <v>327</v>
      </c>
      <c r="K247" s="230">
        <v>12500</v>
      </c>
      <c r="L247" s="228">
        <v>44235</v>
      </c>
      <c r="M247" s="229" t="s">
        <v>47</v>
      </c>
      <c r="N247" s="229"/>
      <c r="O247" s="228"/>
      <c r="P247" s="228">
        <v>44235</v>
      </c>
      <c r="Q24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44235</v>
      </c>
      <c r="S24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12500</v>
      </c>
      <c r="U247" s="235">
        <f ca="1">IF(OR(Tabela_Movimentacao[[#This Row],[Status]]="Em Aberto",Tabela_Movimentacao[[#This Row],[Status]]="Prorrogado"),Tabela_Movimentacao[[#This Row],[Valor]],0)</f>
        <v>0</v>
      </c>
      <c r="V247" s="219">
        <f ca="1">IF(Tabela_Movimentacao[[#This Row],[Status]]="Cancelado","",IF(Tabela_Movimentacao[[#This Row],[Status]]&lt;&gt;"Pago","",Tabela_Movimentacao[[#This Row],[Valor]]))</f>
        <v>12500</v>
      </c>
    </row>
    <row r="248" spans="1:22" ht="35.5" hidden="1" customHeight="1" x14ac:dyDescent="0.35">
      <c r="A248" s="222" t="str">
        <f t="shared" si="27"/>
        <v>E238</v>
      </c>
      <c r="B248" s="223" t="str">
        <f t="shared" si="14"/>
        <v>FILE</v>
      </c>
      <c r="C248" s="224" t="s">
        <v>56</v>
      </c>
      <c r="D248" s="225" t="s">
        <v>49</v>
      </c>
      <c r="E248" s="226" t="s">
        <v>50</v>
      </c>
      <c r="F248" s="227" t="s">
        <v>428</v>
      </c>
      <c r="G248" s="228">
        <v>44235</v>
      </c>
      <c r="H248" s="229" t="s">
        <v>63</v>
      </c>
      <c r="I248" s="225" t="s">
        <v>329</v>
      </c>
      <c r="J248" s="225" t="s">
        <v>327</v>
      </c>
      <c r="K248" s="230">
        <v>12500</v>
      </c>
      <c r="L248" s="228">
        <v>44235</v>
      </c>
      <c r="M248" s="229" t="s">
        <v>47</v>
      </c>
      <c r="N248" s="229"/>
      <c r="O248" s="228"/>
      <c r="P248" s="228">
        <v>44235</v>
      </c>
      <c r="Q24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44235</v>
      </c>
      <c r="S24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-12500</v>
      </c>
      <c r="U248" s="235">
        <f ca="1">IF(OR(Tabela_Movimentacao[[#This Row],[Status]]="Em Aberto",Tabela_Movimentacao[[#This Row],[Status]]="Prorrogado"),Tabela_Movimentacao[[#This Row],[Valor]],0)</f>
        <v>0</v>
      </c>
      <c r="V248" s="219">
        <f ca="1">IF(Tabela_Movimentacao[[#This Row],[Status]]="Cancelado","",IF(Tabela_Movimentacao[[#This Row],[Status]]&lt;&gt;"Pago","",Tabela_Movimentacao[[#This Row],[Valor]]))</f>
        <v>12500</v>
      </c>
    </row>
    <row r="249" spans="1:22" ht="35.5" hidden="1" customHeight="1" x14ac:dyDescent="0.35">
      <c r="A249" s="222" t="str">
        <f t="shared" ref="A249:A250" si="28">"E"&amp;ROW()-10</f>
        <v>E239</v>
      </c>
      <c r="B249" s="223" t="str">
        <f>"FILE"</f>
        <v>FILE</v>
      </c>
      <c r="C249" s="224" t="s">
        <v>62</v>
      </c>
      <c r="D249" s="225" t="s">
        <v>104</v>
      </c>
      <c r="E249" s="226" t="s">
        <v>59</v>
      </c>
      <c r="F249" s="227" t="s">
        <v>428</v>
      </c>
      <c r="G249" s="228">
        <v>44238</v>
      </c>
      <c r="H249" s="229" t="s">
        <v>64</v>
      </c>
      <c r="I249" s="225" t="s">
        <v>222</v>
      </c>
      <c r="J249" s="225" t="s">
        <v>327</v>
      </c>
      <c r="K249" s="230">
        <v>10000</v>
      </c>
      <c r="L249" s="228">
        <v>44238</v>
      </c>
      <c r="M249" s="229" t="s">
        <v>47</v>
      </c>
      <c r="N249" s="229"/>
      <c r="O249" s="228"/>
      <c r="P249" s="228">
        <v>44238</v>
      </c>
      <c r="Q24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4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44238</v>
      </c>
      <c r="S24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4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249" s="235">
        <f ca="1">IF(OR(Tabela_Movimentacao[[#This Row],[Status]]="Em Aberto",Tabela_Movimentacao[[#This Row],[Status]]="Prorrogado"),Tabela_Movimentacao[[#This Row],[Valor]],0)</f>
        <v>0</v>
      </c>
      <c r="V249" s="219">
        <f ca="1">IF(Tabela_Movimentacao[[#This Row],[Status]]="Cancelado","",IF(Tabela_Movimentacao[[#This Row],[Status]]&lt;&gt;"Pago","",Tabela_Movimentacao[[#This Row],[Valor]]))</f>
        <v>10000</v>
      </c>
    </row>
    <row r="250" spans="1:22" ht="35.5" hidden="1" customHeight="1" x14ac:dyDescent="0.35">
      <c r="A250" s="222" t="str">
        <f t="shared" si="28"/>
        <v>E240</v>
      </c>
      <c r="B250" s="223" t="str">
        <f t="shared" si="14"/>
        <v>FILE</v>
      </c>
      <c r="C250" s="224" t="s">
        <v>56</v>
      </c>
      <c r="D250" s="225" t="s">
        <v>49</v>
      </c>
      <c r="E250" s="226" t="s">
        <v>48</v>
      </c>
      <c r="F250" s="227" t="s">
        <v>428</v>
      </c>
      <c r="G250" s="228">
        <v>44238</v>
      </c>
      <c r="H250" s="229" t="s">
        <v>64</v>
      </c>
      <c r="I250" s="225" t="s">
        <v>329</v>
      </c>
      <c r="J250" s="225" t="s">
        <v>327</v>
      </c>
      <c r="K250" s="230">
        <v>10000</v>
      </c>
      <c r="L250" s="228">
        <v>44238</v>
      </c>
      <c r="M250" s="229" t="s">
        <v>47</v>
      </c>
      <c r="N250" s="229"/>
      <c r="O250" s="228"/>
      <c r="P250" s="228">
        <v>44238</v>
      </c>
      <c r="Q25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44238</v>
      </c>
      <c r="S25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250" s="235">
        <f ca="1">IF(OR(Tabela_Movimentacao[[#This Row],[Status]]="Em Aberto",Tabela_Movimentacao[[#This Row],[Status]]="Prorrogado"),Tabela_Movimentacao[[#This Row],[Valor]],0)</f>
        <v>0</v>
      </c>
      <c r="V250" s="219">
        <f ca="1">IF(Tabela_Movimentacao[[#This Row],[Status]]="Cancelado","",IF(Tabela_Movimentacao[[#This Row],[Status]]&lt;&gt;"Pago","",Tabela_Movimentacao[[#This Row],[Valor]]))</f>
        <v>10000</v>
      </c>
    </row>
    <row r="251" spans="1:22" ht="35.5" hidden="1" customHeight="1" x14ac:dyDescent="0.35">
      <c r="A251" s="222" t="str">
        <f t="shared" ref="A251:A252" si="29">"E"&amp;ROW()-10</f>
        <v>E241</v>
      </c>
      <c r="B251" s="223" t="str">
        <f t="shared" si="14"/>
        <v>FILE</v>
      </c>
      <c r="C251" s="224" t="s">
        <v>62</v>
      </c>
      <c r="D251" s="225" t="s">
        <v>104</v>
      </c>
      <c r="E251" s="226" t="s">
        <v>59</v>
      </c>
      <c r="F251" s="227" t="s">
        <v>428</v>
      </c>
      <c r="G251" s="228">
        <v>44239</v>
      </c>
      <c r="H251" s="229" t="s">
        <v>64</v>
      </c>
      <c r="I251" s="225" t="s">
        <v>222</v>
      </c>
      <c r="J251" s="225" t="s">
        <v>327</v>
      </c>
      <c r="K251" s="230">
        <v>6464.42</v>
      </c>
      <c r="L251" s="228">
        <v>44239</v>
      </c>
      <c r="M251" s="229" t="s">
        <v>47</v>
      </c>
      <c r="N251" s="229"/>
      <c r="O251" s="228"/>
      <c r="P251" s="228">
        <v>44239</v>
      </c>
      <c r="Q25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44239</v>
      </c>
      <c r="S25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6464.42</v>
      </c>
      <c r="U251" s="235">
        <f ca="1">IF(OR(Tabela_Movimentacao[[#This Row],[Status]]="Em Aberto",Tabela_Movimentacao[[#This Row],[Status]]="Prorrogado"),Tabela_Movimentacao[[#This Row],[Valor]],0)</f>
        <v>0</v>
      </c>
      <c r="V251" s="219">
        <f ca="1">IF(Tabela_Movimentacao[[#This Row],[Status]]="Cancelado","",IF(Tabela_Movimentacao[[#This Row],[Status]]&lt;&gt;"Pago","",Tabela_Movimentacao[[#This Row],[Valor]]))</f>
        <v>6464.42</v>
      </c>
    </row>
    <row r="252" spans="1:22" ht="35.5" hidden="1" customHeight="1" x14ac:dyDescent="0.35">
      <c r="A252" s="222" t="str">
        <f t="shared" si="29"/>
        <v>E242</v>
      </c>
      <c r="B252" s="223" t="str">
        <f t="shared" si="14"/>
        <v>FILE</v>
      </c>
      <c r="C252" s="224" t="s">
        <v>56</v>
      </c>
      <c r="D252" s="225" t="s">
        <v>49</v>
      </c>
      <c r="E252" s="226" t="s">
        <v>50</v>
      </c>
      <c r="F252" s="227" t="s">
        <v>428</v>
      </c>
      <c r="G252" s="228">
        <v>44239</v>
      </c>
      <c r="H252" s="229" t="s">
        <v>64</v>
      </c>
      <c r="I252" s="225" t="s">
        <v>329</v>
      </c>
      <c r="J252" s="225" t="s">
        <v>327</v>
      </c>
      <c r="K252" s="230">
        <v>6464.42</v>
      </c>
      <c r="L252" s="228">
        <v>44239</v>
      </c>
      <c r="M252" s="229" t="s">
        <v>47</v>
      </c>
      <c r="N252" s="229"/>
      <c r="O252" s="228"/>
      <c r="P252" s="228">
        <v>44239</v>
      </c>
      <c r="Q25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44239</v>
      </c>
      <c r="S25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-6464.42</v>
      </c>
      <c r="U252" s="235">
        <f ca="1">IF(OR(Tabela_Movimentacao[[#This Row],[Status]]="Em Aberto",Tabela_Movimentacao[[#This Row],[Status]]="Prorrogado"),Tabela_Movimentacao[[#This Row],[Valor]],0)</f>
        <v>0</v>
      </c>
      <c r="V252" s="219">
        <f ca="1">IF(Tabela_Movimentacao[[#This Row],[Status]]="Cancelado","",IF(Tabela_Movimentacao[[#This Row],[Status]]&lt;&gt;"Pago","",Tabela_Movimentacao[[#This Row],[Valor]]))</f>
        <v>6464.42</v>
      </c>
    </row>
    <row r="253" spans="1:22" ht="35.5" hidden="1" customHeight="1" x14ac:dyDescent="0.35">
      <c r="A253" s="222" t="str">
        <f t="shared" ref="A253:A254" si="30">"E"&amp;ROW()-10</f>
        <v>E243</v>
      </c>
      <c r="B253" s="223" t="str">
        <f>"FILE"</f>
        <v>FILE</v>
      </c>
      <c r="C253" s="224" t="s">
        <v>62</v>
      </c>
      <c r="D253" s="225" t="s">
        <v>104</v>
      </c>
      <c r="E253" s="226" t="s">
        <v>59</v>
      </c>
      <c r="F253" s="227" t="s">
        <v>505</v>
      </c>
      <c r="G253" s="228">
        <v>44245</v>
      </c>
      <c r="H253" s="229" t="s">
        <v>64</v>
      </c>
      <c r="I253" s="225" t="s">
        <v>222</v>
      </c>
      <c r="J253" s="225" t="s">
        <v>327</v>
      </c>
      <c r="K253" s="230">
        <v>10000</v>
      </c>
      <c r="L253" s="228">
        <v>44245</v>
      </c>
      <c r="M253" s="229" t="s">
        <v>47</v>
      </c>
      <c r="N253" s="229"/>
      <c r="O253" s="228"/>
      <c r="P253" s="228">
        <v>44245</v>
      </c>
      <c r="Q25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44245</v>
      </c>
      <c r="S25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253" s="235">
        <f ca="1">IF(OR(Tabela_Movimentacao[[#This Row],[Status]]="Em Aberto",Tabela_Movimentacao[[#This Row],[Status]]="Prorrogado"),Tabela_Movimentacao[[#This Row],[Valor]],0)</f>
        <v>0</v>
      </c>
      <c r="V253" s="219">
        <f ca="1">IF(Tabela_Movimentacao[[#This Row],[Status]]="Cancelado","",IF(Tabela_Movimentacao[[#This Row],[Status]]&lt;&gt;"Pago","",Tabela_Movimentacao[[#This Row],[Valor]]))</f>
        <v>10000</v>
      </c>
    </row>
    <row r="254" spans="1:22" ht="35.5" hidden="1" customHeight="1" x14ac:dyDescent="0.35">
      <c r="A254" s="222" t="str">
        <f t="shared" si="30"/>
        <v>E244</v>
      </c>
      <c r="B254" s="223" t="str">
        <f t="shared" si="14"/>
        <v>FILE</v>
      </c>
      <c r="C254" s="224" t="s">
        <v>56</v>
      </c>
      <c r="D254" s="225" t="s">
        <v>49</v>
      </c>
      <c r="E254" s="226" t="s">
        <v>48</v>
      </c>
      <c r="F254" s="227" t="s">
        <v>505</v>
      </c>
      <c r="G254" s="228">
        <v>44245</v>
      </c>
      <c r="H254" s="229" t="s">
        <v>64</v>
      </c>
      <c r="I254" s="225" t="s">
        <v>329</v>
      </c>
      <c r="J254" s="225" t="s">
        <v>327</v>
      </c>
      <c r="K254" s="230">
        <v>10000</v>
      </c>
      <c r="L254" s="228">
        <v>44245</v>
      </c>
      <c r="M254" s="229" t="s">
        <v>47</v>
      </c>
      <c r="N254" s="229"/>
      <c r="O254" s="228"/>
      <c r="P254" s="228">
        <v>44245</v>
      </c>
      <c r="Q25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44245</v>
      </c>
      <c r="S25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254" s="235">
        <f ca="1">IF(OR(Tabela_Movimentacao[[#This Row],[Status]]="Em Aberto",Tabela_Movimentacao[[#This Row],[Status]]="Prorrogado"),Tabela_Movimentacao[[#This Row],[Valor]],0)</f>
        <v>0</v>
      </c>
      <c r="V254" s="219">
        <f ca="1">IF(Tabela_Movimentacao[[#This Row],[Status]]="Cancelado","",IF(Tabela_Movimentacao[[#This Row],[Status]]&lt;&gt;"Pago","",Tabela_Movimentacao[[#This Row],[Valor]]))</f>
        <v>10000</v>
      </c>
    </row>
    <row r="255" spans="1:22" ht="35.5" hidden="1" customHeight="1" x14ac:dyDescent="0.35">
      <c r="A255" s="222" t="str">
        <f>"E"&amp;ROW()-10</f>
        <v>E245</v>
      </c>
      <c r="B255" s="223" t="str">
        <f t="shared" si="14"/>
        <v>FILE</v>
      </c>
      <c r="C255" s="224" t="s">
        <v>62</v>
      </c>
      <c r="D255" s="225" t="s">
        <v>104</v>
      </c>
      <c r="E255" s="226" t="s">
        <v>59</v>
      </c>
      <c r="F255" s="227" t="s">
        <v>429</v>
      </c>
      <c r="G255" s="228">
        <v>44253</v>
      </c>
      <c r="H255" s="229" t="s">
        <v>63</v>
      </c>
      <c r="I255" s="225" t="s">
        <v>222</v>
      </c>
      <c r="J255" s="225" t="s">
        <v>327</v>
      </c>
      <c r="K255" s="230">
        <v>5819.25</v>
      </c>
      <c r="L255" s="228">
        <v>44253</v>
      </c>
      <c r="M255" s="229" t="s">
        <v>47</v>
      </c>
      <c r="N255" s="229"/>
      <c r="O255" s="228"/>
      <c r="P255" s="228">
        <v>44253</v>
      </c>
      <c r="Q25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44253</v>
      </c>
      <c r="S25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5819.25</v>
      </c>
      <c r="U255" s="235">
        <f ca="1">IF(OR(Tabela_Movimentacao[[#This Row],[Status]]="Em Aberto",Tabela_Movimentacao[[#This Row],[Status]]="Prorrogado"),Tabela_Movimentacao[[#This Row],[Valor]],0)</f>
        <v>0</v>
      </c>
      <c r="V255" s="219">
        <f ca="1">IF(Tabela_Movimentacao[[#This Row],[Status]]="Cancelado","",IF(Tabela_Movimentacao[[#This Row],[Status]]&lt;&gt;"Pago","",Tabela_Movimentacao[[#This Row],[Valor]]))</f>
        <v>5819.25</v>
      </c>
    </row>
    <row r="256" spans="1:22" ht="35.5" hidden="1" customHeight="1" x14ac:dyDescent="0.35">
      <c r="A256" s="222" t="str">
        <f>"E"&amp;ROW()-10</f>
        <v>E246</v>
      </c>
      <c r="B256" s="223" t="str">
        <f t="shared" si="14"/>
        <v>FILE</v>
      </c>
      <c r="C256" s="224" t="s">
        <v>56</v>
      </c>
      <c r="D256" s="225" t="s">
        <v>49</v>
      </c>
      <c r="E256" s="226" t="s">
        <v>50</v>
      </c>
      <c r="F256" s="227" t="s">
        <v>429</v>
      </c>
      <c r="G256" s="228">
        <v>44253</v>
      </c>
      <c r="H256" s="229" t="s">
        <v>63</v>
      </c>
      <c r="I256" s="225" t="s">
        <v>329</v>
      </c>
      <c r="J256" s="225" t="s">
        <v>327</v>
      </c>
      <c r="K256" s="230">
        <v>5819.25</v>
      </c>
      <c r="L256" s="228">
        <v>44253</v>
      </c>
      <c r="M256" s="229" t="s">
        <v>47</v>
      </c>
      <c r="N256" s="229"/>
      <c r="O256" s="228"/>
      <c r="P256" s="228">
        <v>44253</v>
      </c>
      <c r="Q25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44253</v>
      </c>
      <c r="S25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5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-5819.25</v>
      </c>
      <c r="U256" s="235">
        <f ca="1">IF(OR(Tabela_Movimentacao[[#This Row],[Status]]="Em Aberto",Tabela_Movimentacao[[#This Row],[Status]]="Prorrogado"),Tabela_Movimentacao[[#This Row],[Valor]],0)</f>
        <v>0</v>
      </c>
      <c r="V256" s="219">
        <f ca="1">IF(Tabela_Movimentacao[[#This Row],[Status]]="Cancelado","",IF(Tabela_Movimentacao[[#This Row],[Status]]&lt;&gt;"Pago","",Tabela_Movimentacao[[#This Row],[Valor]]))</f>
        <v>5819.25</v>
      </c>
    </row>
    <row r="257" spans="1:22" ht="35.5" hidden="1" customHeight="1" x14ac:dyDescent="0.35">
      <c r="A257" s="222" t="str">
        <f t="shared" ref="A257:A258" si="31">"E"&amp;ROW()-10</f>
        <v>E247</v>
      </c>
      <c r="B257" s="223" t="str">
        <f t="shared" si="14"/>
        <v>FILE</v>
      </c>
      <c r="C257" s="224" t="s">
        <v>62</v>
      </c>
      <c r="D257" s="225" t="s">
        <v>104</v>
      </c>
      <c r="E257" s="226" t="s">
        <v>59</v>
      </c>
      <c r="F257" s="227" t="s">
        <v>429</v>
      </c>
      <c r="G257" s="228">
        <v>44256</v>
      </c>
      <c r="H257" s="229" t="s">
        <v>65</v>
      </c>
      <c r="I257" s="225" t="s">
        <v>222</v>
      </c>
      <c r="J257" s="225" t="s">
        <v>327</v>
      </c>
      <c r="K257" s="230">
        <v>5819.25</v>
      </c>
      <c r="L257" s="228">
        <v>44256</v>
      </c>
      <c r="M257" s="229" t="s">
        <v>47</v>
      </c>
      <c r="N257" s="229"/>
      <c r="O257" s="228"/>
      <c r="P257" s="228">
        <v>44256</v>
      </c>
      <c r="Q25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44256</v>
      </c>
      <c r="S25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5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5819.25</v>
      </c>
      <c r="U257" s="235">
        <f ca="1">IF(OR(Tabela_Movimentacao[[#This Row],[Status]]="Em Aberto",Tabela_Movimentacao[[#This Row],[Status]]="Prorrogado"),Tabela_Movimentacao[[#This Row],[Valor]],0)</f>
        <v>0</v>
      </c>
      <c r="V257" s="219">
        <f ca="1">IF(Tabela_Movimentacao[[#This Row],[Status]]="Cancelado","",IF(Tabela_Movimentacao[[#This Row],[Status]]&lt;&gt;"Pago","",Tabela_Movimentacao[[#This Row],[Valor]]))</f>
        <v>5819.25</v>
      </c>
    </row>
    <row r="258" spans="1:22" ht="35.5" hidden="1" customHeight="1" x14ac:dyDescent="0.35">
      <c r="A258" s="222" t="str">
        <f t="shared" si="31"/>
        <v>E248</v>
      </c>
      <c r="B258" s="223" t="str">
        <f t="shared" si="14"/>
        <v>FILE</v>
      </c>
      <c r="C258" s="224" t="s">
        <v>56</v>
      </c>
      <c r="D258" s="225" t="s">
        <v>49</v>
      </c>
      <c r="E258" s="226" t="s">
        <v>50</v>
      </c>
      <c r="F258" s="227" t="s">
        <v>429</v>
      </c>
      <c r="G258" s="228">
        <v>44256</v>
      </c>
      <c r="H258" s="229" t="s">
        <v>65</v>
      </c>
      <c r="I258" s="225" t="s">
        <v>329</v>
      </c>
      <c r="J258" s="225" t="s">
        <v>327</v>
      </c>
      <c r="K258" s="230">
        <v>5819.25</v>
      </c>
      <c r="L258" s="228">
        <v>44256</v>
      </c>
      <c r="M258" s="229" t="s">
        <v>47</v>
      </c>
      <c r="N258" s="229"/>
      <c r="O258" s="228"/>
      <c r="P258" s="228">
        <v>44256</v>
      </c>
      <c r="Q25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44256</v>
      </c>
      <c r="S25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5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-5819.25</v>
      </c>
      <c r="U258" s="235">
        <f ca="1">IF(OR(Tabela_Movimentacao[[#This Row],[Status]]="Em Aberto",Tabela_Movimentacao[[#This Row],[Status]]="Prorrogado"),Tabela_Movimentacao[[#This Row],[Valor]],0)</f>
        <v>0</v>
      </c>
      <c r="V258" s="219">
        <f ca="1">IF(Tabela_Movimentacao[[#This Row],[Status]]="Cancelado","",IF(Tabela_Movimentacao[[#This Row],[Status]]&lt;&gt;"Pago","",Tabela_Movimentacao[[#This Row],[Valor]]))</f>
        <v>5819.25</v>
      </c>
    </row>
    <row r="259" spans="1:22" ht="35.5" hidden="1" customHeight="1" x14ac:dyDescent="0.35">
      <c r="A259" s="222" t="str">
        <f t="shared" ref="A259:A260" si="32">"E"&amp;ROW()-10</f>
        <v>E249</v>
      </c>
      <c r="B259" s="223" t="str">
        <f t="shared" si="14"/>
        <v>FILE</v>
      </c>
      <c r="C259" s="224" t="s">
        <v>62</v>
      </c>
      <c r="D259" s="225" t="s">
        <v>104</v>
      </c>
      <c r="E259" s="226" t="s">
        <v>59</v>
      </c>
      <c r="F259" s="227" t="s">
        <v>429</v>
      </c>
      <c r="G259" s="228">
        <v>44256</v>
      </c>
      <c r="H259" s="229" t="s">
        <v>64</v>
      </c>
      <c r="I259" s="225" t="s">
        <v>222</v>
      </c>
      <c r="J259" s="225" t="s">
        <v>327</v>
      </c>
      <c r="K259" s="230">
        <v>10000</v>
      </c>
      <c r="L259" s="228">
        <v>44256</v>
      </c>
      <c r="M259" s="229" t="s">
        <v>47</v>
      </c>
      <c r="N259" s="229"/>
      <c r="O259" s="228"/>
      <c r="P259" s="228">
        <v>44256</v>
      </c>
      <c r="Q25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5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44256</v>
      </c>
      <c r="S25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5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259" s="235">
        <f ca="1">IF(OR(Tabela_Movimentacao[[#This Row],[Status]]="Em Aberto",Tabela_Movimentacao[[#This Row],[Status]]="Prorrogado"),Tabela_Movimentacao[[#This Row],[Valor]],0)</f>
        <v>0</v>
      </c>
      <c r="V259" s="219">
        <f ca="1">IF(Tabela_Movimentacao[[#This Row],[Status]]="Cancelado","",IF(Tabela_Movimentacao[[#This Row],[Status]]&lt;&gt;"Pago","",Tabela_Movimentacao[[#This Row],[Valor]]))</f>
        <v>10000</v>
      </c>
    </row>
    <row r="260" spans="1:22" ht="35.5" hidden="1" customHeight="1" x14ac:dyDescent="0.35">
      <c r="A260" s="222" t="str">
        <f t="shared" si="32"/>
        <v>E250</v>
      </c>
      <c r="B260" s="223" t="str">
        <f t="shared" si="14"/>
        <v>FILE</v>
      </c>
      <c r="C260" s="224" t="s">
        <v>56</v>
      </c>
      <c r="D260" s="225" t="s">
        <v>49</v>
      </c>
      <c r="E260" s="226" t="s">
        <v>48</v>
      </c>
      <c r="F260" s="227" t="s">
        <v>429</v>
      </c>
      <c r="G260" s="228">
        <v>44256</v>
      </c>
      <c r="H260" s="229" t="s">
        <v>64</v>
      </c>
      <c r="I260" s="225" t="s">
        <v>329</v>
      </c>
      <c r="J260" s="225" t="s">
        <v>327</v>
      </c>
      <c r="K260" s="230">
        <v>10000</v>
      </c>
      <c r="L260" s="228">
        <v>44256</v>
      </c>
      <c r="M260" s="229" t="s">
        <v>47</v>
      </c>
      <c r="N260" s="229"/>
      <c r="O260" s="228"/>
      <c r="P260" s="228">
        <v>44256</v>
      </c>
      <c r="Q26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44256</v>
      </c>
      <c r="S26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260" s="235">
        <f ca="1">IF(OR(Tabela_Movimentacao[[#This Row],[Status]]="Em Aberto",Tabela_Movimentacao[[#This Row],[Status]]="Prorrogado"),Tabela_Movimentacao[[#This Row],[Valor]],0)</f>
        <v>0</v>
      </c>
      <c r="V260" s="219">
        <f ca="1">IF(Tabela_Movimentacao[[#This Row],[Status]]="Cancelado","",IF(Tabela_Movimentacao[[#This Row],[Status]]&lt;&gt;"Pago","",Tabela_Movimentacao[[#This Row],[Valor]]))</f>
        <v>10000</v>
      </c>
    </row>
    <row r="261" spans="1:22" ht="35.5" hidden="1" customHeight="1" x14ac:dyDescent="0.35">
      <c r="A261" s="222" t="str">
        <f t="shared" ref="A261:A262" si="33">"E"&amp;ROW()-10</f>
        <v>E251</v>
      </c>
      <c r="B261" s="223" t="str">
        <f t="shared" si="14"/>
        <v>FILE</v>
      </c>
      <c r="C261" s="224" t="s">
        <v>62</v>
      </c>
      <c r="D261" s="225" t="s">
        <v>104</v>
      </c>
      <c r="E261" s="226" t="s">
        <v>59</v>
      </c>
      <c r="F261" s="227" t="s">
        <v>431</v>
      </c>
      <c r="G261" s="228">
        <v>44230</v>
      </c>
      <c r="H261" s="229" t="s">
        <v>64</v>
      </c>
      <c r="I261" s="225" t="s">
        <v>222</v>
      </c>
      <c r="J261" s="225" t="s">
        <v>327</v>
      </c>
      <c r="K261" s="230">
        <v>190</v>
      </c>
      <c r="L261" s="228">
        <v>44230</v>
      </c>
      <c r="M261" s="229" t="s">
        <v>105</v>
      </c>
      <c r="N261" s="229"/>
      <c r="O261" s="228"/>
      <c r="P261" s="228">
        <v>44230</v>
      </c>
      <c r="Q26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6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6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190</v>
      </c>
      <c r="U261" s="235">
        <f ca="1">IF(OR(Tabela_Movimentacao[[#This Row],[Status]]="Em Aberto",Tabela_Movimentacao[[#This Row],[Status]]="Prorrogado"),Tabela_Movimentacao[[#This Row],[Valor]],0)</f>
        <v>0</v>
      </c>
      <c r="V261" s="219">
        <f ca="1">IF(Tabela_Movimentacao[[#This Row],[Status]]="Cancelado","",IF(Tabela_Movimentacao[[#This Row],[Status]]&lt;&gt;"Pago","",Tabela_Movimentacao[[#This Row],[Valor]]))</f>
        <v>190</v>
      </c>
    </row>
    <row r="262" spans="1:22" ht="35.5" hidden="1" customHeight="1" x14ac:dyDescent="0.35">
      <c r="A262" s="222" t="str">
        <f t="shared" si="33"/>
        <v>E252</v>
      </c>
      <c r="B262" s="223" t="str">
        <f t="shared" si="14"/>
        <v>FILE</v>
      </c>
      <c r="C262" s="224" t="s">
        <v>62</v>
      </c>
      <c r="D262" s="225" t="s">
        <v>104</v>
      </c>
      <c r="E262" s="226" t="s">
        <v>59</v>
      </c>
      <c r="F262" s="227" t="s">
        <v>432</v>
      </c>
      <c r="G262" s="228">
        <v>44230</v>
      </c>
      <c r="H262" s="229" t="s">
        <v>64</v>
      </c>
      <c r="I262" s="225" t="s">
        <v>222</v>
      </c>
      <c r="J262" s="225" t="s">
        <v>327</v>
      </c>
      <c r="K262" s="230">
        <v>190</v>
      </c>
      <c r="L262" s="228">
        <v>44230</v>
      </c>
      <c r="M262" s="229" t="s">
        <v>105</v>
      </c>
      <c r="N262" s="229"/>
      <c r="O262" s="228"/>
      <c r="P262" s="228">
        <v>44230</v>
      </c>
      <c r="Q26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6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6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190</v>
      </c>
      <c r="U262" s="235">
        <f ca="1">IF(OR(Tabela_Movimentacao[[#This Row],[Status]]="Em Aberto",Tabela_Movimentacao[[#This Row],[Status]]="Prorrogado"),Tabela_Movimentacao[[#This Row],[Valor]],0)</f>
        <v>0</v>
      </c>
      <c r="V262" s="219">
        <f ca="1">IF(Tabela_Movimentacao[[#This Row],[Status]]="Cancelado","",IF(Tabela_Movimentacao[[#This Row],[Status]]&lt;&gt;"Pago","",Tabela_Movimentacao[[#This Row],[Valor]]))</f>
        <v>190</v>
      </c>
    </row>
    <row r="263" spans="1:22" ht="35.5" hidden="1" customHeight="1" x14ac:dyDescent="0.35">
      <c r="A263" s="222" t="str">
        <f t="shared" ref="A263:A264" si="34">"E"&amp;ROW()-10</f>
        <v>E253</v>
      </c>
      <c r="B263" s="223" t="str">
        <f t="shared" si="14"/>
        <v>FILE</v>
      </c>
      <c r="C263" s="224" t="s">
        <v>62</v>
      </c>
      <c r="D263" s="225" t="s">
        <v>104</v>
      </c>
      <c r="E263" s="226" t="s">
        <v>59</v>
      </c>
      <c r="F263" s="227" t="s">
        <v>433</v>
      </c>
      <c r="G263" s="228">
        <v>44230</v>
      </c>
      <c r="H263" s="229" t="s">
        <v>64</v>
      </c>
      <c r="I263" s="225" t="s">
        <v>222</v>
      </c>
      <c r="J263" s="225" t="s">
        <v>327</v>
      </c>
      <c r="K263" s="230">
        <v>20.81</v>
      </c>
      <c r="L263" s="228">
        <v>44230</v>
      </c>
      <c r="M263" s="229" t="s">
        <v>105</v>
      </c>
      <c r="N263" s="229"/>
      <c r="O263" s="228"/>
      <c r="P263" s="228">
        <v>44230</v>
      </c>
      <c r="Q26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6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6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20.81</v>
      </c>
      <c r="U263" s="235">
        <f ca="1">IF(OR(Tabela_Movimentacao[[#This Row],[Status]]="Em Aberto",Tabela_Movimentacao[[#This Row],[Status]]="Prorrogado"),Tabela_Movimentacao[[#This Row],[Valor]],0)</f>
        <v>0</v>
      </c>
      <c r="V263" s="219">
        <f ca="1">IF(Tabela_Movimentacao[[#This Row],[Status]]="Cancelado","",IF(Tabela_Movimentacao[[#This Row],[Status]]&lt;&gt;"Pago","",Tabela_Movimentacao[[#This Row],[Valor]]))</f>
        <v>20.81</v>
      </c>
    </row>
    <row r="264" spans="1:22" ht="35.5" hidden="1" customHeight="1" x14ac:dyDescent="0.35">
      <c r="A264" s="222" t="str">
        <f t="shared" si="34"/>
        <v>E254</v>
      </c>
      <c r="B264" s="223" t="str">
        <f t="shared" si="14"/>
        <v>FILE</v>
      </c>
      <c r="C264" s="224" t="s">
        <v>56</v>
      </c>
      <c r="D264" s="225" t="s">
        <v>8</v>
      </c>
      <c r="E264" s="226" t="s">
        <v>88</v>
      </c>
      <c r="F264" s="227" t="s">
        <v>434</v>
      </c>
      <c r="G264" s="228">
        <v>44230</v>
      </c>
      <c r="H264" s="229" t="s">
        <v>64</v>
      </c>
      <c r="I264" s="225" t="s">
        <v>272</v>
      </c>
      <c r="J264" s="225" t="s">
        <v>327</v>
      </c>
      <c r="K264" s="230">
        <v>20.81</v>
      </c>
      <c r="L264" s="228">
        <v>44230</v>
      </c>
      <c r="M264" s="229" t="s">
        <v>105</v>
      </c>
      <c r="N264" s="229"/>
      <c r="O264" s="228"/>
      <c r="P264" s="228">
        <v>44230</v>
      </c>
      <c r="Q26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26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6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-20.81</v>
      </c>
      <c r="U264" s="235">
        <f ca="1">IF(OR(Tabela_Movimentacao[[#This Row],[Status]]="Em Aberto",Tabela_Movimentacao[[#This Row],[Status]]="Prorrogado"),Tabela_Movimentacao[[#This Row],[Valor]],0)</f>
        <v>0</v>
      </c>
      <c r="V264" s="219">
        <f ca="1">IF(Tabela_Movimentacao[[#This Row],[Status]]="Cancelado","",IF(Tabela_Movimentacao[[#This Row],[Status]]&lt;&gt;"Pago","",Tabela_Movimentacao[[#This Row],[Valor]]))</f>
        <v>20.81</v>
      </c>
    </row>
    <row r="265" spans="1:22" ht="35.5" hidden="1" customHeight="1" x14ac:dyDescent="0.35">
      <c r="A265" s="222" t="str">
        <f t="shared" ref="A265:A272" si="35">"E"&amp;ROW()-10</f>
        <v>E255</v>
      </c>
      <c r="B265" s="223" t="str">
        <f t="shared" si="14"/>
        <v>FILE</v>
      </c>
      <c r="C265" s="224" t="s">
        <v>62</v>
      </c>
      <c r="D265" s="225" t="s">
        <v>104</v>
      </c>
      <c r="E265" s="226" t="s">
        <v>59</v>
      </c>
      <c r="F265" s="227" t="s">
        <v>436</v>
      </c>
      <c r="G265" s="228">
        <v>44257</v>
      </c>
      <c r="H265" s="229" t="s">
        <v>64</v>
      </c>
      <c r="I265" s="225" t="s">
        <v>222</v>
      </c>
      <c r="J265" s="225" t="s">
        <v>327</v>
      </c>
      <c r="K265" s="230">
        <v>296.73</v>
      </c>
      <c r="L265" s="228">
        <v>44257</v>
      </c>
      <c r="M265" s="229" t="s">
        <v>105</v>
      </c>
      <c r="N265" s="229"/>
      <c r="O265" s="228"/>
      <c r="P265" s="228">
        <v>44257</v>
      </c>
      <c r="Q26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44257</v>
      </c>
      <c r="S26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296.73</v>
      </c>
      <c r="U265" s="235">
        <f ca="1">IF(OR(Tabela_Movimentacao[[#This Row],[Status]]="Em Aberto",Tabela_Movimentacao[[#This Row],[Status]]="Prorrogado"),Tabela_Movimentacao[[#This Row],[Valor]],0)</f>
        <v>0</v>
      </c>
      <c r="V265" s="219">
        <f ca="1">IF(Tabela_Movimentacao[[#This Row],[Status]]="Cancelado","",IF(Tabela_Movimentacao[[#This Row],[Status]]&lt;&gt;"Pago","",Tabela_Movimentacao[[#This Row],[Valor]]))</f>
        <v>296.73</v>
      </c>
    </row>
    <row r="266" spans="1:22" ht="35.5" hidden="1" customHeight="1" x14ac:dyDescent="0.35">
      <c r="A266" s="222" t="str">
        <f t="shared" si="35"/>
        <v>E256</v>
      </c>
      <c r="B266" s="223" t="str">
        <f t="shared" si="14"/>
        <v>FILE</v>
      </c>
      <c r="C266" s="224" t="s">
        <v>56</v>
      </c>
      <c r="D266" s="225" t="s">
        <v>34</v>
      </c>
      <c r="E266" s="226" t="s">
        <v>15</v>
      </c>
      <c r="F266" s="227" t="s">
        <v>436</v>
      </c>
      <c r="G266" s="228">
        <v>44257</v>
      </c>
      <c r="H266" s="229" t="s">
        <v>64</v>
      </c>
      <c r="I266" s="225" t="s">
        <v>435</v>
      </c>
      <c r="J266" s="225" t="s">
        <v>327</v>
      </c>
      <c r="K266" s="230">
        <v>296.73</v>
      </c>
      <c r="L266" s="228">
        <v>44257</v>
      </c>
      <c r="M266" s="229" t="s">
        <v>105</v>
      </c>
      <c r="N266" s="229"/>
      <c r="O266" s="228"/>
      <c r="P266" s="228">
        <v>44257</v>
      </c>
      <c r="Q26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44257</v>
      </c>
      <c r="S26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-296.73</v>
      </c>
      <c r="U266" s="235">
        <f ca="1">IF(OR(Tabela_Movimentacao[[#This Row],[Status]]="Em Aberto",Tabela_Movimentacao[[#This Row],[Status]]="Prorrogado"),Tabela_Movimentacao[[#This Row],[Valor]],0)</f>
        <v>0</v>
      </c>
      <c r="V266" s="219">
        <f ca="1">IF(Tabela_Movimentacao[[#This Row],[Status]]="Cancelado","",IF(Tabela_Movimentacao[[#This Row],[Status]]&lt;&gt;"Pago","",Tabela_Movimentacao[[#This Row],[Valor]]))</f>
        <v>296.73</v>
      </c>
    </row>
    <row r="267" spans="1:22" ht="35.5" hidden="1" customHeight="1" x14ac:dyDescent="0.35">
      <c r="A267" s="222" t="str">
        <f t="shared" si="35"/>
        <v>E257</v>
      </c>
      <c r="B267" s="223" t="str">
        <f t="shared" ref="B267:B331" si="36">"FILE"</f>
        <v>FILE</v>
      </c>
      <c r="C267" s="224" t="s">
        <v>56</v>
      </c>
      <c r="D267" s="225" t="s">
        <v>49</v>
      </c>
      <c r="E267" s="226" t="s">
        <v>48</v>
      </c>
      <c r="F267" s="227" t="s">
        <v>437</v>
      </c>
      <c r="G267" s="228">
        <v>44266</v>
      </c>
      <c r="H267" s="229" t="s">
        <v>64</v>
      </c>
      <c r="I267" s="225" t="s">
        <v>283</v>
      </c>
      <c r="J267" s="225" t="s">
        <v>327</v>
      </c>
      <c r="K267" s="230">
        <v>5899</v>
      </c>
      <c r="L267" s="228">
        <v>44266</v>
      </c>
      <c r="M267" s="229" t="s">
        <v>44</v>
      </c>
      <c r="N267" s="229"/>
      <c r="O267" s="228"/>
      <c r="P267" s="228">
        <v>44266</v>
      </c>
      <c r="Q26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44266</v>
      </c>
      <c r="S26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-5899</v>
      </c>
      <c r="U267" s="235">
        <f ca="1">IF(OR(Tabela_Movimentacao[[#This Row],[Status]]="Em Aberto",Tabela_Movimentacao[[#This Row],[Status]]="Prorrogado"),Tabela_Movimentacao[[#This Row],[Valor]],0)</f>
        <v>0</v>
      </c>
      <c r="V267" s="219">
        <f ca="1">IF(Tabela_Movimentacao[[#This Row],[Status]]="Cancelado","",IF(Tabela_Movimentacao[[#This Row],[Status]]&lt;&gt;"Pago","",Tabela_Movimentacao[[#This Row],[Valor]]))</f>
        <v>5899</v>
      </c>
    </row>
    <row r="268" spans="1:22" ht="35.5" hidden="1" customHeight="1" x14ac:dyDescent="0.35">
      <c r="A268" s="222" t="str">
        <f t="shared" si="35"/>
        <v>E258</v>
      </c>
      <c r="B268" s="223" t="str">
        <f t="shared" si="36"/>
        <v>FILE</v>
      </c>
      <c r="C268" s="224" t="s">
        <v>56</v>
      </c>
      <c r="D268" s="225" t="s">
        <v>49</v>
      </c>
      <c r="E268" s="226" t="s">
        <v>48</v>
      </c>
      <c r="F268" s="227" t="s">
        <v>438</v>
      </c>
      <c r="G268" s="228">
        <v>44266</v>
      </c>
      <c r="H268" s="229" t="s">
        <v>63</v>
      </c>
      <c r="I268" s="225" t="s">
        <v>283</v>
      </c>
      <c r="J268" s="225" t="s">
        <v>327</v>
      </c>
      <c r="K268" s="230">
        <v>5500</v>
      </c>
      <c r="L268" s="228">
        <v>44266</v>
      </c>
      <c r="M268" s="229" t="s">
        <v>45</v>
      </c>
      <c r="N268" s="229"/>
      <c r="O268" s="228"/>
      <c r="P268" s="228">
        <v>44266</v>
      </c>
      <c r="Q26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44266</v>
      </c>
      <c r="S26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-5500</v>
      </c>
      <c r="U268" s="235">
        <f ca="1">IF(OR(Tabela_Movimentacao[[#This Row],[Status]]="Em Aberto",Tabela_Movimentacao[[#This Row],[Status]]="Prorrogado"),Tabela_Movimentacao[[#This Row],[Valor]],0)</f>
        <v>0</v>
      </c>
      <c r="V268" s="219">
        <f ca="1">IF(Tabela_Movimentacao[[#This Row],[Status]]="Cancelado","",IF(Tabela_Movimentacao[[#This Row],[Status]]&lt;&gt;"Pago","",Tabela_Movimentacao[[#This Row],[Valor]]))</f>
        <v>5500</v>
      </c>
    </row>
    <row r="269" spans="1:22" ht="35.5" hidden="1" customHeight="1" x14ac:dyDescent="0.35">
      <c r="A269" s="222" t="str">
        <f t="shared" si="35"/>
        <v>E259</v>
      </c>
      <c r="B269" s="223" t="str">
        <f t="shared" si="36"/>
        <v>FILE</v>
      </c>
      <c r="C269" s="224" t="s">
        <v>62</v>
      </c>
      <c r="D269" s="225" t="s">
        <v>104</v>
      </c>
      <c r="E269" s="226" t="s">
        <v>59</v>
      </c>
      <c r="F269" s="227" t="s">
        <v>437</v>
      </c>
      <c r="G269" s="228">
        <v>44266</v>
      </c>
      <c r="H269" s="229" t="s">
        <v>64</v>
      </c>
      <c r="I269" s="225" t="s">
        <v>222</v>
      </c>
      <c r="J269" s="225" t="s">
        <v>327</v>
      </c>
      <c r="K269" s="230">
        <v>5899</v>
      </c>
      <c r="L269" s="228">
        <v>44266</v>
      </c>
      <c r="M269" s="229" t="s">
        <v>44</v>
      </c>
      <c r="N269" s="229"/>
      <c r="O269" s="228"/>
      <c r="P269" s="228">
        <v>44266</v>
      </c>
      <c r="Q26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6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44266</v>
      </c>
      <c r="S26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6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5899</v>
      </c>
      <c r="U269" s="235">
        <f ca="1">IF(OR(Tabela_Movimentacao[[#This Row],[Status]]="Em Aberto",Tabela_Movimentacao[[#This Row],[Status]]="Prorrogado"),Tabela_Movimentacao[[#This Row],[Valor]],0)</f>
        <v>0</v>
      </c>
      <c r="V269" s="219">
        <f ca="1">IF(Tabela_Movimentacao[[#This Row],[Status]]="Cancelado","",IF(Tabela_Movimentacao[[#This Row],[Status]]&lt;&gt;"Pago","",Tabela_Movimentacao[[#This Row],[Valor]]))</f>
        <v>5899</v>
      </c>
    </row>
    <row r="270" spans="1:22" ht="35.5" hidden="1" customHeight="1" x14ac:dyDescent="0.35">
      <c r="A270" s="222" t="str">
        <f t="shared" si="35"/>
        <v>E260</v>
      </c>
      <c r="B270" s="223" t="str">
        <f t="shared" si="36"/>
        <v>FILE</v>
      </c>
      <c r="C270" s="224" t="s">
        <v>62</v>
      </c>
      <c r="D270" s="225" t="s">
        <v>104</v>
      </c>
      <c r="E270" s="226" t="s">
        <v>59</v>
      </c>
      <c r="F270" s="227" t="s">
        <v>438</v>
      </c>
      <c r="G270" s="228">
        <v>44266</v>
      </c>
      <c r="H270" s="229" t="s">
        <v>63</v>
      </c>
      <c r="I270" s="225" t="s">
        <v>222</v>
      </c>
      <c r="J270" s="225" t="s">
        <v>327</v>
      </c>
      <c r="K270" s="230">
        <v>5500</v>
      </c>
      <c r="L270" s="228">
        <v>44266</v>
      </c>
      <c r="M270" s="229" t="s">
        <v>45</v>
      </c>
      <c r="N270" s="229"/>
      <c r="O270" s="228"/>
      <c r="P270" s="228">
        <v>44266</v>
      </c>
      <c r="Q27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44266</v>
      </c>
      <c r="S27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5500</v>
      </c>
      <c r="U270" s="235">
        <f ca="1">IF(OR(Tabela_Movimentacao[[#This Row],[Status]]="Em Aberto",Tabela_Movimentacao[[#This Row],[Status]]="Prorrogado"),Tabela_Movimentacao[[#This Row],[Valor]],0)</f>
        <v>0</v>
      </c>
      <c r="V270" s="219">
        <f ca="1">IF(Tabela_Movimentacao[[#This Row],[Status]]="Cancelado","",IF(Tabela_Movimentacao[[#This Row],[Status]]&lt;&gt;"Pago","",Tabela_Movimentacao[[#This Row],[Valor]]))</f>
        <v>5500</v>
      </c>
    </row>
    <row r="271" spans="1:22" ht="35.5" hidden="1" customHeight="1" x14ac:dyDescent="0.35">
      <c r="A271" s="222" t="str">
        <f t="shared" si="35"/>
        <v>E261</v>
      </c>
      <c r="B271" s="223" t="str">
        <f t="shared" si="36"/>
        <v>FILE</v>
      </c>
      <c r="C271" s="224" t="s">
        <v>62</v>
      </c>
      <c r="D271" s="225" t="s">
        <v>104</v>
      </c>
      <c r="E271" s="226" t="s">
        <v>59</v>
      </c>
      <c r="F271" s="227" t="s">
        <v>439</v>
      </c>
      <c r="G271" s="228">
        <v>44237</v>
      </c>
      <c r="H271" s="229" t="s">
        <v>64</v>
      </c>
      <c r="I271" s="225" t="s">
        <v>222</v>
      </c>
      <c r="J271" s="225" t="s">
        <v>327</v>
      </c>
      <c r="K271" s="230">
        <v>976.03</v>
      </c>
      <c r="L271" s="228">
        <v>44237</v>
      </c>
      <c r="M271" s="229" t="s">
        <v>105</v>
      </c>
      <c r="N271" s="229"/>
      <c r="O271" s="228"/>
      <c r="P271" s="228">
        <v>44237</v>
      </c>
      <c r="Q27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44237</v>
      </c>
      <c r="S27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7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976.03</v>
      </c>
      <c r="U271" s="235">
        <f ca="1">IF(OR(Tabela_Movimentacao[[#This Row],[Status]]="Em Aberto",Tabela_Movimentacao[[#This Row],[Status]]="Prorrogado"),Tabela_Movimentacao[[#This Row],[Valor]],0)</f>
        <v>0</v>
      </c>
      <c r="V271" s="219">
        <f ca="1">IF(Tabela_Movimentacao[[#This Row],[Status]]="Cancelado","",IF(Tabela_Movimentacao[[#This Row],[Status]]&lt;&gt;"Pago","",Tabela_Movimentacao[[#This Row],[Valor]]))</f>
        <v>976.03</v>
      </c>
    </row>
    <row r="272" spans="1:22" ht="35.5" hidden="1" customHeight="1" x14ac:dyDescent="0.35">
      <c r="A272" s="222" t="str">
        <f t="shared" si="35"/>
        <v>E262</v>
      </c>
      <c r="B272" s="223" t="str">
        <f t="shared" si="36"/>
        <v>FILE</v>
      </c>
      <c r="C272" s="224" t="s">
        <v>56</v>
      </c>
      <c r="D272" s="225" t="s">
        <v>13</v>
      </c>
      <c r="E272" s="226" t="s">
        <v>16</v>
      </c>
      <c r="F272" s="227" t="s">
        <v>439</v>
      </c>
      <c r="G272" s="228">
        <v>44237</v>
      </c>
      <c r="H272" s="229" t="s">
        <v>64</v>
      </c>
      <c r="I272" s="225" t="s">
        <v>173</v>
      </c>
      <c r="J272" s="225" t="s">
        <v>327</v>
      </c>
      <c r="K272" s="230">
        <v>976.03</v>
      </c>
      <c r="L272" s="228">
        <v>44237</v>
      </c>
      <c r="M272" s="229" t="s">
        <v>105</v>
      </c>
      <c r="N272" s="229"/>
      <c r="O272" s="228"/>
      <c r="P272" s="228">
        <v>44237</v>
      </c>
      <c r="Q27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44237</v>
      </c>
      <c r="S27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44228</v>
      </c>
      <c r="T27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-976.03</v>
      </c>
      <c r="U272" s="235">
        <f ca="1">IF(OR(Tabela_Movimentacao[[#This Row],[Status]]="Em Aberto",Tabela_Movimentacao[[#This Row],[Status]]="Prorrogado"),Tabela_Movimentacao[[#This Row],[Valor]],0)</f>
        <v>0</v>
      </c>
      <c r="V272" s="219">
        <f ca="1">IF(Tabela_Movimentacao[[#This Row],[Status]]="Cancelado","",IF(Tabela_Movimentacao[[#This Row],[Status]]&lt;&gt;"Pago","",Tabela_Movimentacao[[#This Row],[Valor]]))</f>
        <v>976.03</v>
      </c>
    </row>
    <row r="273" spans="1:22" ht="35.5" hidden="1" customHeight="1" x14ac:dyDescent="0.35">
      <c r="A273" s="222" t="str">
        <f t="shared" ref="A273:A274" si="37">"E"&amp;ROW()-10</f>
        <v>E263</v>
      </c>
      <c r="B273" s="223" t="str">
        <f t="shared" si="36"/>
        <v>FILE</v>
      </c>
      <c r="C273" s="224" t="s">
        <v>62</v>
      </c>
      <c r="D273" s="225" t="s">
        <v>104</v>
      </c>
      <c r="E273" s="226" t="s">
        <v>59</v>
      </c>
      <c r="F273" s="227" t="s">
        <v>440</v>
      </c>
      <c r="G273" s="228">
        <v>44265</v>
      </c>
      <c r="H273" s="229" t="s">
        <v>64</v>
      </c>
      <c r="I273" s="225" t="s">
        <v>222</v>
      </c>
      <c r="J273" s="225" t="s">
        <v>327</v>
      </c>
      <c r="K273" s="230">
        <v>976.03</v>
      </c>
      <c r="L273" s="228">
        <v>44265</v>
      </c>
      <c r="M273" s="229" t="s">
        <v>105</v>
      </c>
      <c r="N273" s="229"/>
      <c r="O273" s="228"/>
      <c r="P273" s="228">
        <v>44265</v>
      </c>
      <c r="Q27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44265</v>
      </c>
      <c r="S27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976.03</v>
      </c>
      <c r="U273" s="235">
        <f ca="1">IF(OR(Tabela_Movimentacao[[#This Row],[Status]]="Em Aberto",Tabela_Movimentacao[[#This Row],[Status]]="Prorrogado"),Tabela_Movimentacao[[#This Row],[Valor]],0)</f>
        <v>0</v>
      </c>
      <c r="V273" s="219">
        <f ca="1">IF(Tabela_Movimentacao[[#This Row],[Status]]="Cancelado","",IF(Tabela_Movimentacao[[#This Row],[Status]]&lt;&gt;"Pago","",Tabela_Movimentacao[[#This Row],[Valor]]))</f>
        <v>976.03</v>
      </c>
    </row>
    <row r="274" spans="1:22" ht="35.5" hidden="1" customHeight="1" x14ac:dyDescent="0.35">
      <c r="A274" s="222" t="str">
        <f t="shared" si="37"/>
        <v>E264</v>
      </c>
      <c r="B274" s="223" t="str">
        <f t="shared" si="36"/>
        <v>FILE</v>
      </c>
      <c r="C274" s="224" t="s">
        <v>56</v>
      </c>
      <c r="D274" s="225" t="s">
        <v>13</v>
      </c>
      <c r="E274" s="226" t="s">
        <v>16</v>
      </c>
      <c r="F274" s="227" t="s">
        <v>440</v>
      </c>
      <c r="G274" s="228">
        <v>44265</v>
      </c>
      <c r="H274" s="229" t="s">
        <v>64</v>
      </c>
      <c r="I274" s="225" t="s">
        <v>173</v>
      </c>
      <c r="J274" s="225" t="s">
        <v>327</v>
      </c>
      <c r="K274" s="230">
        <v>976.03</v>
      </c>
      <c r="L274" s="228">
        <v>44265</v>
      </c>
      <c r="M274" s="229" t="s">
        <v>105</v>
      </c>
      <c r="N274" s="229"/>
      <c r="O274" s="228"/>
      <c r="P274" s="228">
        <v>44265</v>
      </c>
      <c r="Q27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44265</v>
      </c>
      <c r="S27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-976.03</v>
      </c>
      <c r="U274" s="235">
        <f ca="1">IF(OR(Tabela_Movimentacao[[#This Row],[Status]]="Em Aberto",Tabela_Movimentacao[[#This Row],[Status]]="Prorrogado"),Tabela_Movimentacao[[#This Row],[Valor]],0)</f>
        <v>0</v>
      </c>
      <c r="V274" s="219">
        <f ca="1">IF(Tabela_Movimentacao[[#This Row],[Status]]="Cancelado","",IF(Tabela_Movimentacao[[#This Row],[Status]]&lt;&gt;"Pago","",Tabela_Movimentacao[[#This Row],[Valor]]))</f>
        <v>976.03</v>
      </c>
    </row>
    <row r="275" spans="1:22" ht="35.5" hidden="1" customHeight="1" x14ac:dyDescent="0.35">
      <c r="A275" s="222" t="str">
        <f t="shared" ref="A275:A276" si="38">"E"&amp;ROW()-10</f>
        <v>E265</v>
      </c>
      <c r="B275" s="223" t="str">
        <f t="shared" si="36"/>
        <v>FILE</v>
      </c>
      <c r="C275" s="224" t="s">
        <v>56</v>
      </c>
      <c r="D275" s="225" t="s">
        <v>49</v>
      </c>
      <c r="E275" s="226" t="s">
        <v>50</v>
      </c>
      <c r="F275" s="227" t="s">
        <v>441</v>
      </c>
      <c r="G275" s="228">
        <v>44272</v>
      </c>
      <c r="H275" s="229" t="s">
        <v>65</v>
      </c>
      <c r="I275" s="225" t="s">
        <v>329</v>
      </c>
      <c r="J275" s="225" t="s">
        <v>327</v>
      </c>
      <c r="K275" s="230">
        <v>6027.34</v>
      </c>
      <c r="L275" s="228">
        <v>44272</v>
      </c>
      <c r="M275" s="229" t="s">
        <v>47</v>
      </c>
      <c r="N275" s="229"/>
      <c r="O275" s="228"/>
      <c r="P275" s="228">
        <v>44272</v>
      </c>
      <c r="Q27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44272</v>
      </c>
      <c r="S27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-6027.34</v>
      </c>
      <c r="U275" s="235">
        <f ca="1">IF(OR(Tabela_Movimentacao[[#This Row],[Status]]="Em Aberto",Tabela_Movimentacao[[#This Row],[Status]]="Prorrogado"),Tabela_Movimentacao[[#This Row],[Valor]],0)</f>
        <v>0</v>
      </c>
      <c r="V275" s="219">
        <f ca="1">IF(Tabela_Movimentacao[[#This Row],[Status]]="Cancelado","",IF(Tabela_Movimentacao[[#This Row],[Status]]&lt;&gt;"Pago","",Tabela_Movimentacao[[#This Row],[Valor]]))</f>
        <v>6027.34</v>
      </c>
    </row>
    <row r="276" spans="1:22" ht="35.5" hidden="1" customHeight="1" x14ac:dyDescent="0.35">
      <c r="A276" s="222" t="str">
        <f t="shared" si="38"/>
        <v>E266</v>
      </c>
      <c r="B276" s="223" t="str">
        <f t="shared" si="36"/>
        <v>FILE</v>
      </c>
      <c r="C276" s="224" t="s">
        <v>62</v>
      </c>
      <c r="D276" s="225" t="s">
        <v>104</v>
      </c>
      <c r="E276" s="226" t="s">
        <v>59</v>
      </c>
      <c r="F276" s="227" t="s">
        <v>441</v>
      </c>
      <c r="G276" s="228">
        <v>44272</v>
      </c>
      <c r="H276" s="229" t="s">
        <v>65</v>
      </c>
      <c r="I276" s="225" t="s">
        <v>222</v>
      </c>
      <c r="J276" s="225" t="s">
        <v>327</v>
      </c>
      <c r="K276" s="230">
        <v>6027.34</v>
      </c>
      <c r="L276" s="228">
        <v>44272</v>
      </c>
      <c r="M276" s="229" t="s">
        <v>47</v>
      </c>
      <c r="N276" s="229"/>
      <c r="O276" s="228"/>
      <c r="P276" s="228">
        <v>44272</v>
      </c>
      <c r="Q27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44272</v>
      </c>
      <c r="S27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6027.34</v>
      </c>
      <c r="U276" s="235">
        <f ca="1">IF(OR(Tabela_Movimentacao[[#This Row],[Status]]="Em Aberto",Tabela_Movimentacao[[#This Row],[Status]]="Prorrogado"),Tabela_Movimentacao[[#This Row],[Valor]],0)</f>
        <v>0</v>
      </c>
      <c r="V276" s="219">
        <f ca="1">IF(Tabela_Movimentacao[[#This Row],[Status]]="Cancelado","",IF(Tabela_Movimentacao[[#This Row],[Status]]&lt;&gt;"Pago","",Tabela_Movimentacao[[#This Row],[Valor]]))</f>
        <v>6027.34</v>
      </c>
    </row>
    <row r="277" spans="1:22" ht="35.5" hidden="1" customHeight="1" x14ac:dyDescent="0.35">
      <c r="A277" s="222" t="str">
        <f t="shared" ref="A277:A278" si="39">"E"&amp;ROW()-10</f>
        <v>E267</v>
      </c>
      <c r="B277" s="223" t="str">
        <f t="shared" si="36"/>
        <v>FILE</v>
      </c>
      <c r="C277" s="224" t="s">
        <v>56</v>
      </c>
      <c r="D277" s="225" t="s">
        <v>49</v>
      </c>
      <c r="E277" s="226" t="s">
        <v>50</v>
      </c>
      <c r="F277" s="227" t="s">
        <v>441</v>
      </c>
      <c r="G277" s="228">
        <v>44270</v>
      </c>
      <c r="H277" s="229" t="s">
        <v>64</v>
      </c>
      <c r="I277" s="225" t="s">
        <v>329</v>
      </c>
      <c r="J277" s="225" t="s">
        <v>327</v>
      </c>
      <c r="K277" s="230">
        <v>1325</v>
      </c>
      <c r="L277" s="228">
        <v>44270</v>
      </c>
      <c r="M277" s="229" t="s">
        <v>47</v>
      </c>
      <c r="N277" s="229"/>
      <c r="O277" s="228"/>
      <c r="P277" s="228">
        <v>44270</v>
      </c>
      <c r="Q27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7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-1325</v>
      </c>
      <c r="U277" s="235">
        <f ca="1">IF(OR(Tabela_Movimentacao[[#This Row],[Status]]="Em Aberto",Tabela_Movimentacao[[#This Row],[Status]]="Prorrogado"),Tabela_Movimentacao[[#This Row],[Valor]],0)</f>
        <v>0</v>
      </c>
      <c r="V277" s="219">
        <f ca="1">IF(Tabela_Movimentacao[[#This Row],[Status]]="Cancelado","",IF(Tabela_Movimentacao[[#This Row],[Status]]&lt;&gt;"Pago","",Tabela_Movimentacao[[#This Row],[Valor]]))</f>
        <v>1325</v>
      </c>
    </row>
    <row r="278" spans="1:22" ht="35.5" hidden="1" customHeight="1" x14ac:dyDescent="0.35">
      <c r="A278" s="222" t="str">
        <f t="shared" si="39"/>
        <v>E268</v>
      </c>
      <c r="B278" s="223" t="str">
        <f t="shared" si="36"/>
        <v>FILE</v>
      </c>
      <c r="C278" s="224" t="s">
        <v>62</v>
      </c>
      <c r="D278" s="225" t="s">
        <v>104</v>
      </c>
      <c r="E278" s="226" t="s">
        <v>59</v>
      </c>
      <c r="F278" s="227" t="s">
        <v>441</v>
      </c>
      <c r="G278" s="228">
        <v>44270</v>
      </c>
      <c r="H278" s="229" t="s">
        <v>64</v>
      </c>
      <c r="I278" s="225" t="s">
        <v>222</v>
      </c>
      <c r="J278" s="225" t="s">
        <v>327</v>
      </c>
      <c r="K278" s="230">
        <v>1325</v>
      </c>
      <c r="L278" s="228">
        <v>44270</v>
      </c>
      <c r="M278" s="229" t="s">
        <v>47</v>
      </c>
      <c r="N278" s="229"/>
      <c r="O278" s="228"/>
      <c r="P278" s="228">
        <v>44270</v>
      </c>
      <c r="Q27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7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1325</v>
      </c>
      <c r="U278" s="235">
        <f ca="1">IF(OR(Tabela_Movimentacao[[#This Row],[Status]]="Em Aberto",Tabela_Movimentacao[[#This Row],[Status]]="Prorrogado"),Tabela_Movimentacao[[#This Row],[Valor]],0)</f>
        <v>0</v>
      </c>
      <c r="V278" s="219">
        <f ca="1">IF(Tabela_Movimentacao[[#This Row],[Status]]="Cancelado","",IF(Tabela_Movimentacao[[#This Row],[Status]]&lt;&gt;"Pago","",Tabela_Movimentacao[[#This Row],[Valor]]))</f>
        <v>1325</v>
      </c>
    </row>
    <row r="279" spans="1:22" ht="35.5" hidden="1" customHeight="1" x14ac:dyDescent="0.35">
      <c r="A279" s="222" t="str">
        <f t="shared" ref="A279:A280" si="40">"E"&amp;ROW()-10</f>
        <v>E269</v>
      </c>
      <c r="B279" s="223" t="str">
        <f t="shared" si="36"/>
        <v>FILE</v>
      </c>
      <c r="C279" s="224" t="s">
        <v>56</v>
      </c>
      <c r="D279" s="225" t="s">
        <v>49</v>
      </c>
      <c r="E279" s="226" t="s">
        <v>50</v>
      </c>
      <c r="F279" s="227" t="s">
        <v>441</v>
      </c>
      <c r="G279" s="228">
        <v>44270</v>
      </c>
      <c r="H279" s="229" t="s">
        <v>64</v>
      </c>
      <c r="I279" s="225" t="s">
        <v>329</v>
      </c>
      <c r="J279" s="225" t="s">
        <v>327</v>
      </c>
      <c r="K279" s="230">
        <v>10000</v>
      </c>
      <c r="L279" s="228">
        <v>44270</v>
      </c>
      <c r="M279" s="229" t="s">
        <v>47</v>
      </c>
      <c r="N279" s="229"/>
      <c r="O279" s="228"/>
      <c r="P279" s="228">
        <v>44270</v>
      </c>
      <c r="Q27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7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7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7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279" s="235">
        <f ca="1">IF(OR(Tabela_Movimentacao[[#This Row],[Status]]="Em Aberto",Tabela_Movimentacao[[#This Row],[Status]]="Prorrogado"),Tabela_Movimentacao[[#This Row],[Valor]],0)</f>
        <v>0</v>
      </c>
      <c r="V279" s="219">
        <f ca="1">IF(Tabela_Movimentacao[[#This Row],[Status]]="Cancelado","",IF(Tabela_Movimentacao[[#This Row],[Status]]&lt;&gt;"Pago","",Tabela_Movimentacao[[#This Row],[Valor]]))</f>
        <v>10000</v>
      </c>
    </row>
    <row r="280" spans="1:22" ht="35.5" hidden="1" customHeight="1" x14ac:dyDescent="0.35">
      <c r="A280" s="222" t="str">
        <f t="shared" si="40"/>
        <v>E270</v>
      </c>
      <c r="B280" s="223" t="str">
        <f t="shared" si="36"/>
        <v>FILE</v>
      </c>
      <c r="C280" s="224" t="s">
        <v>62</v>
      </c>
      <c r="D280" s="225" t="s">
        <v>104</v>
      </c>
      <c r="E280" s="226" t="s">
        <v>59</v>
      </c>
      <c r="F280" s="227" t="s">
        <v>441</v>
      </c>
      <c r="G280" s="228">
        <v>44270</v>
      </c>
      <c r="H280" s="229" t="s">
        <v>64</v>
      </c>
      <c r="I280" s="225" t="s">
        <v>222</v>
      </c>
      <c r="J280" s="225" t="s">
        <v>327</v>
      </c>
      <c r="K280" s="230">
        <v>10000</v>
      </c>
      <c r="L280" s="228">
        <v>44270</v>
      </c>
      <c r="M280" s="229" t="s">
        <v>47</v>
      </c>
      <c r="N280" s="229"/>
      <c r="O280" s="228"/>
      <c r="P280" s="228">
        <v>44270</v>
      </c>
      <c r="Q28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8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280" s="235">
        <f ca="1">IF(OR(Tabela_Movimentacao[[#This Row],[Status]]="Em Aberto",Tabela_Movimentacao[[#This Row],[Status]]="Prorrogado"),Tabela_Movimentacao[[#This Row],[Valor]],0)</f>
        <v>0</v>
      </c>
      <c r="V280" s="219">
        <f ca="1">IF(Tabela_Movimentacao[[#This Row],[Status]]="Cancelado","",IF(Tabela_Movimentacao[[#This Row],[Status]]&lt;&gt;"Pago","",Tabela_Movimentacao[[#This Row],[Valor]]))</f>
        <v>10000</v>
      </c>
    </row>
    <row r="281" spans="1:22" ht="35.5" hidden="1" customHeight="1" x14ac:dyDescent="0.35">
      <c r="A281" s="222" t="str">
        <f t="shared" ref="A281:A282" si="41">"E"&amp;ROW()-10</f>
        <v>E271</v>
      </c>
      <c r="B281" s="223" t="str">
        <f t="shared" si="36"/>
        <v>FILE</v>
      </c>
      <c r="C281" s="224" t="s">
        <v>56</v>
      </c>
      <c r="D281" s="225" t="s">
        <v>49</v>
      </c>
      <c r="E281" s="226" t="s">
        <v>48</v>
      </c>
      <c r="F281" s="227" t="s">
        <v>441</v>
      </c>
      <c r="G281" s="228">
        <v>44270</v>
      </c>
      <c r="H281" s="229" t="s">
        <v>63</v>
      </c>
      <c r="I281" s="225" t="s">
        <v>329</v>
      </c>
      <c r="J281" s="225" t="s">
        <v>327</v>
      </c>
      <c r="K281" s="230">
        <v>6027.34</v>
      </c>
      <c r="L281" s="228">
        <v>44270</v>
      </c>
      <c r="M281" s="229" t="s">
        <v>47</v>
      </c>
      <c r="N281" s="229"/>
      <c r="O281" s="228"/>
      <c r="P281" s="228">
        <v>44270</v>
      </c>
      <c r="Q28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8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-6027.34</v>
      </c>
      <c r="U281" s="235">
        <f ca="1">IF(OR(Tabela_Movimentacao[[#This Row],[Status]]="Em Aberto",Tabela_Movimentacao[[#This Row],[Status]]="Prorrogado"),Tabela_Movimentacao[[#This Row],[Valor]],0)</f>
        <v>0</v>
      </c>
      <c r="V281" s="219">
        <f ca="1">IF(Tabela_Movimentacao[[#This Row],[Status]]="Cancelado","",IF(Tabela_Movimentacao[[#This Row],[Status]]&lt;&gt;"Pago","",Tabela_Movimentacao[[#This Row],[Valor]]))</f>
        <v>6027.34</v>
      </c>
    </row>
    <row r="282" spans="1:22" ht="35.5" hidden="1" customHeight="1" x14ac:dyDescent="0.35">
      <c r="A282" s="222" t="str">
        <f t="shared" si="41"/>
        <v>E272</v>
      </c>
      <c r="B282" s="223" t="str">
        <f t="shared" si="36"/>
        <v>FILE</v>
      </c>
      <c r="C282" s="224" t="s">
        <v>62</v>
      </c>
      <c r="D282" s="225" t="s">
        <v>104</v>
      </c>
      <c r="E282" s="226" t="s">
        <v>59</v>
      </c>
      <c r="F282" s="227" t="s">
        <v>441</v>
      </c>
      <c r="G282" s="228">
        <v>44270</v>
      </c>
      <c r="H282" s="229" t="s">
        <v>63</v>
      </c>
      <c r="I282" s="225" t="s">
        <v>222</v>
      </c>
      <c r="J282" s="225" t="s">
        <v>327</v>
      </c>
      <c r="K282" s="230">
        <v>6027.34</v>
      </c>
      <c r="L282" s="228">
        <v>44270</v>
      </c>
      <c r="M282" s="229" t="s">
        <v>47</v>
      </c>
      <c r="N282" s="229"/>
      <c r="O282" s="228"/>
      <c r="P282" s="228">
        <v>44270</v>
      </c>
      <c r="Q28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44270</v>
      </c>
      <c r="S28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6027.34</v>
      </c>
      <c r="U282" s="235">
        <f ca="1">IF(OR(Tabela_Movimentacao[[#This Row],[Status]]="Em Aberto",Tabela_Movimentacao[[#This Row],[Status]]="Prorrogado"),Tabela_Movimentacao[[#This Row],[Valor]],0)</f>
        <v>0</v>
      </c>
      <c r="V282" s="219">
        <f ca="1">IF(Tabela_Movimentacao[[#This Row],[Status]]="Cancelado","",IF(Tabela_Movimentacao[[#This Row],[Status]]&lt;&gt;"Pago","",Tabela_Movimentacao[[#This Row],[Valor]]))</f>
        <v>6027.34</v>
      </c>
    </row>
    <row r="283" spans="1:22" ht="35.5" hidden="1" customHeight="1" x14ac:dyDescent="0.35">
      <c r="A283" s="222" t="str">
        <f t="shared" ref="A283:A292" si="42">"E"&amp;ROW()-10</f>
        <v>E273</v>
      </c>
      <c r="B283" s="223" t="str">
        <f t="shared" si="36"/>
        <v>FILE</v>
      </c>
      <c r="C283" s="224" t="s">
        <v>89</v>
      </c>
      <c r="D283" s="225" t="s">
        <v>91</v>
      </c>
      <c r="E283" s="226" t="s">
        <v>223</v>
      </c>
      <c r="F283" s="227" t="s">
        <v>444</v>
      </c>
      <c r="G283" s="228">
        <v>44279</v>
      </c>
      <c r="H283" s="229" t="s">
        <v>174</v>
      </c>
      <c r="I283" s="225" t="s">
        <v>222</v>
      </c>
      <c r="J283" s="225" t="s">
        <v>327</v>
      </c>
      <c r="K283" s="230">
        <v>3000</v>
      </c>
      <c r="L283" s="228">
        <v>44279</v>
      </c>
      <c r="M283" s="229" t="s">
        <v>47</v>
      </c>
      <c r="N283" s="229"/>
      <c r="O283" s="228"/>
      <c r="P283" s="228">
        <v>44279</v>
      </c>
      <c r="Q28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3000</v>
      </c>
      <c r="U283" s="235">
        <f ca="1">IF(OR(Tabela_Movimentacao[[#This Row],[Status]]="Em Aberto",Tabela_Movimentacao[[#This Row],[Status]]="Prorrogado"),Tabela_Movimentacao[[#This Row],[Valor]],0)</f>
        <v>0</v>
      </c>
      <c r="V283" s="219">
        <f ca="1">IF(Tabela_Movimentacao[[#This Row],[Status]]="Cancelado","",IF(Tabela_Movimentacao[[#This Row],[Status]]&lt;&gt;"Pago","",Tabela_Movimentacao[[#This Row],[Valor]]))</f>
        <v>3000</v>
      </c>
    </row>
    <row r="284" spans="1:22" ht="35.5" hidden="1" customHeight="1" x14ac:dyDescent="0.35">
      <c r="A284" s="222" t="str">
        <f t="shared" si="42"/>
        <v>E274</v>
      </c>
      <c r="B284" s="223" t="str">
        <f t="shared" si="36"/>
        <v>FILE</v>
      </c>
      <c r="C284" s="224" t="s">
        <v>56</v>
      </c>
      <c r="D284" s="225" t="s">
        <v>49</v>
      </c>
      <c r="E284" s="226" t="s">
        <v>50</v>
      </c>
      <c r="F284" s="227" t="s">
        <v>533</v>
      </c>
      <c r="G284" s="228">
        <v>44279</v>
      </c>
      <c r="H284" s="229" t="s">
        <v>65</v>
      </c>
      <c r="I284" s="225" t="s">
        <v>329</v>
      </c>
      <c r="J284" s="225" t="s">
        <v>327</v>
      </c>
      <c r="K284" s="230">
        <v>5099.37</v>
      </c>
      <c r="L284" s="228">
        <v>44279</v>
      </c>
      <c r="M284" s="229" t="s">
        <v>47</v>
      </c>
      <c r="N284" s="229"/>
      <c r="O284" s="228"/>
      <c r="P284" s="228">
        <v>44279</v>
      </c>
      <c r="Q28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-5099.37</v>
      </c>
      <c r="U284" s="235">
        <f ca="1">IF(OR(Tabela_Movimentacao[[#This Row],[Status]]="Em Aberto",Tabela_Movimentacao[[#This Row],[Status]]="Prorrogado"),Tabela_Movimentacao[[#This Row],[Valor]],0)</f>
        <v>0</v>
      </c>
      <c r="V284" s="219">
        <f ca="1">IF(Tabela_Movimentacao[[#This Row],[Status]]="Cancelado","",IF(Tabela_Movimentacao[[#This Row],[Status]]&lt;&gt;"Pago","",Tabela_Movimentacao[[#This Row],[Valor]]))</f>
        <v>5099.37</v>
      </c>
    </row>
    <row r="285" spans="1:22" ht="35.5" hidden="1" customHeight="1" x14ac:dyDescent="0.35">
      <c r="A285" s="222" t="str">
        <f t="shared" si="42"/>
        <v>E275</v>
      </c>
      <c r="B285" s="223" t="str">
        <f t="shared" si="36"/>
        <v>FILE</v>
      </c>
      <c r="C285" s="224" t="s">
        <v>62</v>
      </c>
      <c r="D285" s="225" t="s">
        <v>104</v>
      </c>
      <c r="E285" s="226" t="s">
        <v>59</v>
      </c>
      <c r="F285" s="227" t="s">
        <v>533</v>
      </c>
      <c r="G285" s="228">
        <v>44279</v>
      </c>
      <c r="H285" s="229" t="s">
        <v>65</v>
      </c>
      <c r="I285" s="225" t="s">
        <v>222</v>
      </c>
      <c r="J285" s="225" t="s">
        <v>327</v>
      </c>
      <c r="K285" s="230">
        <v>5099.37</v>
      </c>
      <c r="L285" s="228">
        <v>44279</v>
      </c>
      <c r="M285" s="229" t="s">
        <v>47</v>
      </c>
      <c r="N285" s="229"/>
      <c r="O285" s="228"/>
      <c r="P285" s="228">
        <v>44279</v>
      </c>
      <c r="Q28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5099.37</v>
      </c>
      <c r="U285" s="235">
        <f ca="1">IF(OR(Tabela_Movimentacao[[#This Row],[Status]]="Em Aberto",Tabela_Movimentacao[[#This Row],[Status]]="Prorrogado"),Tabela_Movimentacao[[#This Row],[Valor]],0)</f>
        <v>0</v>
      </c>
      <c r="V285" s="219">
        <f ca="1">IF(Tabela_Movimentacao[[#This Row],[Status]]="Cancelado","",IF(Tabela_Movimentacao[[#This Row],[Status]]&lt;&gt;"Pago","",Tabela_Movimentacao[[#This Row],[Valor]]))</f>
        <v>5099.37</v>
      </c>
    </row>
    <row r="286" spans="1:22" ht="35.5" hidden="1" customHeight="1" x14ac:dyDescent="0.35">
      <c r="A286" s="222" t="str">
        <f t="shared" si="42"/>
        <v>E276</v>
      </c>
      <c r="B286" s="223" t="str">
        <f t="shared" si="36"/>
        <v>FILE</v>
      </c>
      <c r="C286" s="224" t="s">
        <v>56</v>
      </c>
      <c r="D286" s="225" t="s">
        <v>49</v>
      </c>
      <c r="E286" s="226" t="s">
        <v>50</v>
      </c>
      <c r="F286" s="227" t="s">
        <v>533</v>
      </c>
      <c r="G286" s="228">
        <v>44279</v>
      </c>
      <c r="H286" s="229" t="s">
        <v>63</v>
      </c>
      <c r="I286" s="225" t="s">
        <v>329</v>
      </c>
      <c r="J286" s="225" t="s">
        <v>327</v>
      </c>
      <c r="K286" s="230">
        <v>5099.37</v>
      </c>
      <c r="L286" s="228">
        <v>44279</v>
      </c>
      <c r="M286" s="229" t="s">
        <v>47</v>
      </c>
      <c r="N286" s="229"/>
      <c r="O286" s="228"/>
      <c r="P286" s="228">
        <v>44279</v>
      </c>
      <c r="Q28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-5099.37</v>
      </c>
      <c r="U286" s="235">
        <f ca="1">IF(OR(Tabela_Movimentacao[[#This Row],[Status]]="Em Aberto",Tabela_Movimentacao[[#This Row],[Status]]="Prorrogado"),Tabela_Movimentacao[[#This Row],[Valor]],0)</f>
        <v>0</v>
      </c>
      <c r="V286" s="219">
        <f ca="1">IF(Tabela_Movimentacao[[#This Row],[Status]]="Cancelado","",IF(Tabela_Movimentacao[[#This Row],[Status]]&lt;&gt;"Pago","",Tabela_Movimentacao[[#This Row],[Valor]]))</f>
        <v>5099.37</v>
      </c>
    </row>
    <row r="287" spans="1:22" ht="35.5" hidden="1" customHeight="1" x14ac:dyDescent="0.35">
      <c r="A287" s="222" t="str">
        <f t="shared" si="42"/>
        <v>E277</v>
      </c>
      <c r="B287" s="223" t="str">
        <f t="shared" si="36"/>
        <v>FILE</v>
      </c>
      <c r="C287" s="224" t="s">
        <v>62</v>
      </c>
      <c r="D287" s="225" t="s">
        <v>104</v>
      </c>
      <c r="E287" s="226" t="s">
        <v>59</v>
      </c>
      <c r="F287" s="227" t="s">
        <v>533</v>
      </c>
      <c r="G287" s="228">
        <v>44279</v>
      </c>
      <c r="H287" s="229" t="s">
        <v>63</v>
      </c>
      <c r="I287" s="225" t="s">
        <v>222</v>
      </c>
      <c r="J287" s="225" t="s">
        <v>327</v>
      </c>
      <c r="K287" s="230">
        <v>5099.37</v>
      </c>
      <c r="L287" s="228">
        <v>44279</v>
      </c>
      <c r="M287" s="229" t="s">
        <v>47</v>
      </c>
      <c r="N287" s="229"/>
      <c r="O287" s="228"/>
      <c r="P287" s="228">
        <v>44279</v>
      </c>
      <c r="Q28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5099.37</v>
      </c>
      <c r="U287" s="235">
        <f ca="1">IF(OR(Tabela_Movimentacao[[#This Row],[Status]]="Em Aberto",Tabela_Movimentacao[[#This Row],[Status]]="Prorrogado"),Tabela_Movimentacao[[#This Row],[Valor]],0)</f>
        <v>0</v>
      </c>
      <c r="V287" s="219">
        <f ca="1">IF(Tabela_Movimentacao[[#This Row],[Status]]="Cancelado","",IF(Tabela_Movimentacao[[#This Row],[Status]]&lt;&gt;"Pago","",Tabela_Movimentacao[[#This Row],[Valor]]))</f>
        <v>5099.37</v>
      </c>
    </row>
    <row r="288" spans="1:22" ht="35.5" hidden="1" customHeight="1" x14ac:dyDescent="0.35">
      <c r="A288" s="222" t="str">
        <f t="shared" si="42"/>
        <v>E278</v>
      </c>
      <c r="B288" s="223" t="str">
        <f t="shared" si="36"/>
        <v>FILE</v>
      </c>
      <c r="C288" s="224" t="s">
        <v>56</v>
      </c>
      <c r="D288" s="225" t="s">
        <v>49</v>
      </c>
      <c r="E288" s="226" t="s">
        <v>50</v>
      </c>
      <c r="F288" s="227" t="s">
        <v>532</v>
      </c>
      <c r="G288" s="228">
        <v>44281</v>
      </c>
      <c r="H288" s="229" t="s">
        <v>64</v>
      </c>
      <c r="I288" s="225" t="s">
        <v>329</v>
      </c>
      <c r="J288" s="225" t="s">
        <v>327</v>
      </c>
      <c r="K288" s="230">
        <v>10000</v>
      </c>
      <c r="L288" s="228">
        <v>44279</v>
      </c>
      <c r="M288" s="229" t="s">
        <v>47</v>
      </c>
      <c r="N288" s="229"/>
      <c r="O288" s="228"/>
      <c r="P288" s="228">
        <v>44281</v>
      </c>
      <c r="Q28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288" s="235">
        <f ca="1">IF(OR(Tabela_Movimentacao[[#This Row],[Status]]="Em Aberto",Tabela_Movimentacao[[#This Row],[Status]]="Prorrogado"),Tabela_Movimentacao[[#This Row],[Valor]],0)</f>
        <v>0</v>
      </c>
      <c r="V288" s="219">
        <f ca="1">IF(Tabela_Movimentacao[[#This Row],[Status]]="Cancelado","",IF(Tabela_Movimentacao[[#This Row],[Status]]&lt;&gt;"Pago","",Tabela_Movimentacao[[#This Row],[Valor]]))</f>
        <v>10000</v>
      </c>
    </row>
    <row r="289" spans="1:22" ht="35.5" hidden="1" customHeight="1" x14ac:dyDescent="0.35">
      <c r="A289" s="222" t="str">
        <f t="shared" si="42"/>
        <v>E279</v>
      </c>
      <c r="B289" s="223" t="str">
        <f t="shared" si="36"/>
        <v>FILE</v>
      </c>
      <c r="C289" s="224" t="s">
        <v>62</v>
      </c>
      <c r="D289" s="225" t="s">
        <v>104</v>
      </c>
      <c r="E289" s="226" t="s">
        <v>59</v>
      </c>
      <c r="F289" s="227" t="s">
        <v>532</v>
      </c>
      <c r="G289" s="228">
        <v>44281</v>
      </c>
      <c r="H289" s="229" t="s">
        <v>64</v>
      </c>
      <c r="I289" s="225" t="s">
        <v>222</v>
      </c>
      <c r="J289" s="225" t="s">
        <v>327</v>
      </c>
      <c r="K289" s="230">
        <v>10000</v>
      </c>
      <c r="L289" s="228">
        <v>44279</v>
      </c>
      <c r="M289" s="229" t="s">
        <v>47</v>
      </c>
      <c r="N289" s="229"/>
      <c r="O289" s="228"/>
      <c r="P289" s="228">
        <v>44281</v>
      </c>
      <c r="Q28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8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44279</v>
      </c>
      <c r="S28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44256</v>
      </c>
      <c r="T28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289" s="235">
        <f ca="1">IF(OR(Tabela_Movimentacao[[#This Row],[Status]]="Em Aberto",Tabela_Movimentacao[[#This Row],[Status]]="Prorrogado"),Tabela_Movimentacao[[#This Row],[Valor]],0)</f>
        <v>0</v>
      </c>
      <c r="V289" s="219">
        <f ca="1">IF(Tabela_Movimentacao[[#This Row],[Status]]="Cancelado","",IF(Tabela_Movimentacao[[#This Row],[Status]]&lt;&gt;"Pago","",Tabela_Movimentacao[[#This Row],[Valor]]))</f>
        <v>10000</v>
      </c>
    </row>
    <row r="290" spans="1:22" ht="35.5" hidden="1" customHeight="1" x14ac:dyDescent="0.35">
      <c r="A290" s="222" t="str">
        <f t="shared" si="42"/>
        <v>E280</v>
      </c>
      <c r="B290" s="223" t="str">
        <f t="shared" si="36"/>
        <v>FILE</v>
      </c>
      <c r="C290" s="224" t="s">
        <v>56</v>
      </c>
      <c r="D290" s="225" t="s">
        <v>49</v>
      </c>
      <c r="E290" s="226" t="s">
        <v>50</v>
      </c>
      <c r="F290" s="227" t="s">
        <v>445</v>
      </c>
      <c r="G290" s="228">
        <v>44291</v>
      </c>
      <c r="H290" s="229" t="s">
        <v>222</v>
      </c>
      <c r="I290" s="225" t="s">
        <v>329</v>
      </c>
      <c r="J290" s="225" t="s">
        <v>327</v>
      </c>
      <c r="K290" s="230">
        <v>3000</v>
      </c>
      <c r="L290" s="228">
        <v>44291</v>
      </c>
      <c r="M290" s="229" t="s">
        <v>47</v>
      </c>
      <c r="N290" s="229"/>
      <c r="O290" s="228"/>
      <c r="P290" s="228">
        <v>44291</v>
      </c>
      <c r="Q29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44291</v>
      </c>
      <c r="S29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-3000</v>
      </c>
      <c r="U290" s="235">
        <f ca="1">IF(OR(Tabela_Movimentacao[[#This Row],[Status]]="Em Aberto",Tabela_Movimentacao[[#This Row],[Status]]="Prorrogado"),Tabela_Movimentacao[[#This Row],[Valor]],0)</f>
        <v>0</v>
      </c>
      <c r="V290" s="219">
        <f ca="1">IF(Tabela_Movimentacao[[#This Row],[Status]]="Cancelado","",IF(Tabela_Movimentacao[[#This Row],[Status]]&lt;&gt;"Pago","",Tabela_Movimentacao[[#This Row],[Valor]]))</f>
        <v>3000</v>
      </c>
    </row>
    <row r="291" spans="1:22" ht="35.5" hidden="1" customHeight="1" x14ac:dyDescent="0.35">
      <c r="A291" s="222" t="str">
        <f t="shared" si="42"/>
        <v>E281</v>
      </c>
      <c r="B291" s="223" t="str">
        <f t="shared" si="36"/>
        <v>FILE</v>
      </c>
      <c r="C291" s="224" t="s">
        <v>62</v>
      </c>
      <c r="D291" s="225" t="s">
        <v>104</v>
      </c>
      <c r="E291" s="226" t="s">
        <v>59</v>
      </c>
      <c r="F291" s="227" t="s">
        <v>445</v>
      </c>
      <c r="G291" s="228">
        <v>44291</v>
      </c>
      <c r="H291" s="229" t="s">
        <v>64</v>
      </c>
      <c r="I291" s="225" t="s">
        <v>222</v>
      </c>
      <c r="J291" s="225" t="s">
        <v>327</v>
      </c>
      <c r="K291" s="230">
        <v>1757.9</v>
      </c>
      <c r="L291" s="228">
        <v>44291</v>
      </c>
      <c r="M291" s="229" t="s">
        <v>47</v>
      </c>
      <c r="N291" s="229"/>
      <c r="O291" s="228"/>
      <c r="P291" s="228">
        <v>44291</v>
      </c>
      <c r="Q29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44291</v>
      </c>
      <c r="S29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1757.9</v>
      </c>
      <c r="U291" s="235">
        <f ca="1">IF(OR(Tabela_Movimentacao[[#This Row],[Status]]="Em Aberto",Tabela_Movimentacao[[#This Row],[Status]]="Prorrogado"),Tabela_Movimentacao[[#This Row],[Valor]],0)</f>
        <v>0</v>
      </c>
      <c r="V291" s="219">
        <f ca="1">IF(Tabela_Movimentacao[[#This Row],[Status]]="Cancelado","",IF(Tabela_Movimentacao[[#This Row],[Status]]&lt;&gt;"Pago","",Tabela_Movimentacao[[#This Row],[Valor]]))</f>
        <v>1757.9</v>
      </c>
    </row>
    <row r="292" spans="1:22" ht="35.5" hidden="1" customHeight="1" x14ac:dyDescent="0.35">
      <c r="A292" s="222" t="str">
        <f t="shared" si="42"/>
        <v>E282</v>
      </c>
      <c r="B292" s="223" t="str">
        <f t="shared" si="36"/>
        <v>FILE</v>
      </c>
      <c r="C292" s="224" t="s">
        <v>56</v>
      </c>
      <c r="D292" s="225" t="s">
        <v>49</v>
      </c>
      <c r="E292" s="226" t="s">
        <v>50</v>
      </c>
      <c r="F292" s="227" t="s">
        <v>445</v>
      </c>
      <c r="G292" s="228">
        <v>44291</v>
      </c>
      <c r="H292" s="229" t="s">
        <v>64</v>
      </c>
      <c r="I292" s="225" t="s">
        <v>329</v>
      </c>
      <c r="J292" s="225" t="s">
        <v>327</v>
      </c>
      <c r="K292" s="230">
        <v>1757.9</v>
      </c>
      <c r="L292" s="228">
        <v>44291</v>
      </c>
      <c r="M292" s="229" t="s">
        <v>47</v>
      </c>
      <c r="N292" s="229"/>
      <c r="O292" s="228"/>
      <c r="P292" s="228">
        <v>44291</v>
      </c>
      <c r="Q29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44291</v>
      </c>
      <c r="S29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-1757.9</v>
      </c>
      <c r="U292" s="235">
        <f ca="1">IF(OR(Tabela_Movimentacao[[#This Row],[Status]]="Em Aberto",Tabela_Movimentacao[[#This Row],[Status]]="Prorrogado"),Tabela_Movimentacao[[#This Row],[Valor]],0)</f>
        <v>0</v>
      </c>
      <c r="V292" s="219">
        <f ca="1">IF(Tabela_Movimentacao[[#This Row],[Status]]="Cancelado","",IF(Tabela_Movimentacao[[#This Row],[Status]]&lt;&gt;"Pago","",Tabela_Movimentacao[[#This Row],[Valor]]))</f>
        <v>1757.9</v>
      </c>
    </row>
    <row r="293" spans="1:22" ht="35.5" hidden="1" customHeight="1" x14ac:dyDescent="0.35">
      <c r="A293" s="222" t="str">
        <f t="shared" ref="A293:A294" si="43">"E"&amp;ROW()-10</f>
        <v>E283</v>
      </c>
      <c r="B293" s="223" t="str">
        <f t="shared" si="36"/>
        <v>FILE</v>
      </c>
      <c r="C293" s="224" t="s">
        <v>62</v>
      </c>
      <c r="D293" s="225" t="s">
        <v>104</v>
      </c>
      <c r="E293" s="226" t="s">
        <v>59</v>
      </c>
      <c r="F293" s="227" t="s">
        <v>445</v>
      </c>
      <c r="G293" s="228">
        <v>44287</v>
      </c>
      <c r="H293" s="229" t="s">
        <v>65</v>
      </c>
      <c r="I293" s="225" t="s">
        <v>222</v>
      </c>
      <c r="J293" s="225" t="s">
        <v>327</v>
      </c>
      <c r="K293" s="230">
        <v>2378.9499999999998</v>
      </c>
      <c r="L293" s="228">
        <v>44287</v>
      </c>
      <c r="M293" s="229" t="s">
        <v>47</v>
      </c>
      <c r="N293" s="229"/>
      <c r="O293" s="228"/>
      <c r="P293" s="228">
        <v>44287</v>
      </c>
      <c r="Q29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44287</v>
      </c>
      <c r="S29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2378.9499999999998</v>
      </c>
      <c r="U293" s="235">
        <f ca="1">IF(OR(Tabela_Movimentacao[[#This Row],[Status]]="Em Aberto",Tabela_Movimentacao[[#This Row],[Status]]="Prorrogado"),Tabela_Movimentacao[[#This Row],[Valor]],0)</f>
        <v>0</v>
      </c>
      <c r="V293" s="219">
        <f ca="1">IF(Tabela_Movimentacao[[#This Row],[Status]]="Cancelado","",IF(Tabela_Movimentacao[[#This Row],[Status]]&lt;&gt;"Pago","",Tabela_Movimentacao[[#This Row],[Valor]]))</f>
        <v>2378.9499999999998</v>
      </c>
    </row>
    <row r="294" spans="1:22" ht="35.5" hidden="1" customHeight="1" x14ac:dyDescent="0.35">
      <c r="A294" s="222" t="str">
        <f t="shared" si="43"/>
        <v>E284</v>
      </c>
      <c r="B294" s="223" t="str">
        <f t="shared" si="36"/>
        <v>FILE</v>
      </c>
      <c r="C294" s="224" t="s">
        <v>56</v>
      </c>
      <c r="D294" s="225" t="s">
        <v>49</v>
      </c>
      <c r="E294" s="226" t="s">
        <v>50</v>
      </c>
      <c r="F294" s="227" t="s">
        <v>445</v>
      </c>
      <c r="G294" s="228">
        <v>44287</v>
      </c>
      <c r="H294" s="229" t="s">
        <v>65</v>
      </c>
      <c r="I294" s="225" t="s">
        <v>329</v>
      </c>
      <c r="J294" s="225" t="s">
        <v>327</v>
      </c>
      <c r="K294" s="230">
        <v>2378.9499999999998</v>
      </c>
      <c r="L294" s="228">
        <v>44287</v>
      </c>
      <c r="M294" s="229" t="s">
        <v>47</v>
      </c>
      <c r="N294" s="229"/>
      <c r="O294" s="228"/>
      <c r="P294" s="228">
        <v>44287</v>
      </c>
      <c r="Q29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44287</v>
      </c>
      <c r="S29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-2378.9499999999998</v>
      </c>
      <c r="U294" s="235">
        <f ca="1">IF(OR(Tabela_Movimentacao[[#This Row],[Status]]="Em Aberto",Tabela_Movimentacao[[#This Row],[Status]]="Prorrogado"),Tabela_Movimentacao[[#This Row],[Valor]],0)</f>
        <v>0</v>
      </c>
      <c r="V294" s="219">
        <f ca="1">IF(Tabela_Movimentacao[[#This Row],[Status]]="Cancelado","",IF(Tabela_Movimentacao[[#This Row],[Status]]&lt;&gt;"Pago","",Tabela_Movimentacao[[#This Row],[Valor]]))</f>
        <v>2378.9499999999998</v>
      </c>
    </row>
    <row r="295" spans="1:22" ht="35.5" hidden="1" customHeight="1" x14ac:dyDescent="0.35">
      <c r="A295" s="222" t="str">
        <f>"E"&amp;ROW()-10</f>
        <v>E285</v>
      </c>
      <c r="B295" s="223" t="str">
        <f t="shared" si="36"/>
        <v>FILE</v>
      </c>
      <c r="C295" s="224" t="s">
        <v>62</v>
      </c>
      <c r="D295" s="225" t="s">
        <v>104</v>
      </c>
      <c r="E295" s="226" t="s">
        <v>59</v>
      </c>
      <c r="F295" s="227" t="s">
        <v>445</v>
      </c>
      <c r="G295" s="228">
        <v>44287</v>
      </c>
      <c r="H295" s="229" t="s">
        <v>63</v>
      </c>
      <c r="I295" s="225" t="s">
        <v>222</v>
      </c>
      <c r="J295" s="225" t="s">
        <v>327</v>
      </c>
      <c r="K295" s="230">
        <v>2378.9499999999998</v>
      </c>
      <c r="L295" s="228">
        <v>44287</v>
      </c>
      <c r="M295" s="229" t="s">
        <v>47</v>
      </c>
      <c r="N295" s="229"/>
      <c r="O295" s="228"/>
      <c r="P295" s="228">
        <v>44287</v>
      </c>
      <c r="Q29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44287</v>
      </c>
      <c r="S29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2378.9499999999998</v>
      </c>
      <c r="U295" s="235">
        <f ca="1">IF(OR(Tabela_Movimentacao[[#This Row],[Status]]="Em Aberto",Tabela_Movimentacao[[#This Row],[Status]]="Prorrogado"),Tabela_Movimentacao[[#This Row],[Valor]],0)</f>
        <v>0</v>
      </c>
      <c r="V295" s="219">
        <f ca="1">IF(Tabela_Movimentacao[[#This Row],[Status]]="Cancelado","",IF(Tabela_Movimentacao[[#This Row],[Status]]&lt;&gt;"Pago","",Tabela_Movimentacao[[#This Row],[Valor]]))</f>
        <v>2378.9499999999998</v>
      </c>
    </row>
    <row r="296" spans="1:22" ht="35.5" hidden="1" customHeight="1" x14ac:dyDescent="0.35">
      <c r="A296" s="222" t="str">
        <f>"E"&amp;ROW()-10</f>
        <v>E286</v>
      </c>
      <c r="B296" s="223" t="str">
        <f t="shared" si="36"/>
        <v>FILE</v>
      </c>
      <c r="C296" s="224" t="s">
        <v>56</v>
      </c>
      <c r="D296" s="225" t="s">
        <v>49</v>
      </c>
      <c r="E296" s="226" t="s">
        <v>50</v>
      </c>
      <c r="F296" s="227" t="s">
        <v>445</v>
      </c>
      <c r="G296" s="228">
        <v>44287</v>
      </c>
      <c r="H296" s="229" t="s">
        <v>63</v>
      </c>
      <c r="I296" s="225" t="s">
        <v>329</v>
      </c>
      <c r="J296" s="225" t="s">
        <v>327</v>
      </c>
      <c r="K296" s="230">
        <v>2378.9499999999998</v>
      </c>
      <c r="L296" s="228">
        <v>44287</v>
      </c>
      <c r="M296" s="229" t="s">
        <v>47</v>
      </c>
      <c r="N296" s="229"/>
      <c r="O296" s="228"/>
      <c r="P296" s="228">
        <v>44287</v>
      </c>
      <c r="Q29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44287</v>
      </c>
      <c r="S29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-2378.9499999999998</v>
      </c>
      <c r="U296" s="235">
        <f ca="1">IF(OR(Tabela_Movimentacao[[#This Row],[Status]]="Em Aberto",Tabela_Movimentacao[[#This Row],[Status]]="Prorrogado"),Tabela_Movimentacao[[#This Row],[Valor]],0)</f>
        <v>0</v>
      </c>
      <c r="V296" s="219">
        <f ca="1">IF(Tabela_Movimentacao[[#This Row],[Status]]="Cancelado","",IF(Tabela_Movimentacao[[#This Row],[Status]]&lt;&gt;"Pago","",Tabela_Movimentacao[[#This Row],[Valor]]))</f>
        <v>2378.9499999999998</v>
      </c>
    </row>
    <row r="297" spans="1:22" ht="35.5" hidden="1" customHeight="1" x14ac:dyDescent="0.35">
      <c r="A297" s="222" t="str">
        <f t="shared" ref="A297:A300" si="44">"E"&amp;ROW()-10</f>
        <v>E287</v>
      </c>
      <c r="B297" s="223" t="str">
        <f t="shared" si="36"/>
        <v>FILE</v>
      </c>
      <c r="C297" s="224" t="s">
        <v>62</v>
      </c>
      <c r="D297" s="225" t="s">
        <v>104</v>
      </c>
      <c r="E297" s="226" t="s">
        <v>59</v>
      </c>
      <c r="F297" s="227" t="s">
        <v>448</v>
      </c>
      <c r="G297" s="228">
        <v>44295</v>
      </c>
      <c r="H297" s="229" t="s">
        <v>64</v>
      </c>
      <c r="I297" s="225" t="s">
        <v>222</v>
      </c>
      <c r="J297" s="225" t="s">
        <v>327</v>
      </c>
      <c r="K297" s="230">
        <v>626.05999999999995</v>
      </c>
      <c r="L297" s="228">
        <v>44295</v>
      </c>
      <c r="M297" s="229" t="s">
        <v>44</v>
      </c>
      <c r="N297" s="229"/>
      <c r="O297" s="228"/>
      <c r="P297" s="228">
        <v>44295</v>
      </c>
      <c r="Q29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29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626.05999999999995</v>
      </c>
      <c r="U297" s="235">
        <f ca="1">IF(OR(Tabela_Movimentacao[[#This Row],[Status]]="Em Aberto",Tabela_Movimentacao[[#This Row],[Status]]="Prorrogado"),Tabela_Movimentacao[[#This Row],[Valor]],0)</f>
        <v>0</v>
      </c>
      <c r="V297" s="219">
        <f ca="1">IF(Tabela_Movimentacao[[#This Row],[Status]]="Cancelado","",IF(Tabela_Movimentacao[[#This Row],[Status]]&lt;&gt;"Pago","",Tabela_Movimentacao[[#This Row],[Valor]]))</f>
        <v>626.05999999999995</v>
      </c>
    </row>
    <row r="298" spans="1:22" ht="35.5" hidden="1" customHeight="1" x14ac:dyDescent="0.35">
      <c r="A298" s="222" t="str">
        <f t="shared" si="44"/>
        <v>E288</v>
      </c>
      <c r="B298" s="223" t="str">
        <f t="shared" si="36"/>
        <v>FILE</v>
      </c>
      <c r="C298" s="224" t="s">
        <v>56</v>
      </c>
      <c r="D298" s="225" t="s">
        <v>34</v>
      </c>
      <c r="E298" s="226" t="s">
        <v>15</v>
      </c>
      <c r="F298" s="227" t="s">
        <v>528</v>
      </c>
      <c r="G298" s="228">
        <v>44295</v>
      </c>
      <c r="H298" s="229" t="s">
        <v>64</v>
      </c>
      <c r="I298" s="225" t="s">
        <v>435</v>
      </c>
      <c r="J298" s="225" t="s">
        <v>327</v>
      </c>
      <c r="K298" s="230">
        <v>626.05999999999995</v>
      </c>
      <c r="L298" s="228">
        <v>44295</v>
      </c>
      <c r="M298" s="229" t="s">
        <v>44</v>
      </c>
      <c r="N298" s="229"/>
      <c r="O298" s="228"/>
      <c r="P298" s="228">
        <v>44295</v>
      </c>
      <c r="Q29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29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-626.05999999999995</v>
      </c>
      <c r="U298" s="235">
        <f ca="1">IF(OR(Tabela_Movimentacao[[#This Row],[Status]]="Em Aberto",Tabela_Movimentacao[[#This Row],[Status]]="Prorrogado"),Tabela_Movimentacao[[#This Row],[Valor]],0)</f>
        <v>0</v>
      </c>
      <c r="V298" s="219">
        <f ca="1">IF(Tabela_Movimentacao[[#This Row],[Status]]="Cancelado","",IF(Tabela_Movimentacao[[#This Row],[Status]]&lt;&gt;"Pago","",Tabela_Movimentacao[[#This Row],[Valor]]))</f>
        <v>626.05999999999995</v>
      </c>
    </row>
    <row r="299" spans="1:22" ht="35.5" hidden="1" customHeight="1" x14ac:dyDescent="0.35">
      <c r="A299" s="222" t="str">
        <f t="shared" si="44"/>
        <v>E289</v>
      </c>
      <c r="B299" s="223" t="str">
        <f t="shared" si="36"/>
        <v>FILE</v>
      </c>
      <c r="C299" s="224" t="s">
        <v>62</v>
      </c>
      <c r="D299" s="225" t="s">
        <v>104</v>
      </c>
      <c r="E299" s="226" t="s">
        <v>59</v>
      </c>
      <c r="F299" s="227" t="s">
        <v>449</v>
      </c>
      <c r="G299" s="228">
        <v>44295</v>
      </c>
      <c r="H299" s="229" t="s">
        <v>64</v>
      </c>
      <c r="I299" s="225" t="s">
        <v>222</v>
      </c>
      <c r="J299" s="225" t="s">
        <v>327</v>
      </c>
      <c r="K299" s="230">
        <v>340.75</v>
      </c>
      <c r="L299" s="228">
        <v>44295</v>
      </c>
      <c r="M299" s="229" t="s">
        <v>44</v>
      </c>
      <c r="N299" s="229"/>
      <c r="O299" s="228"/>
      <c r="P299" s="228">
        <v>44295</v>
      </c>
      <c r="Q29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29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29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29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340.75</v>
      </c>
      <c r="U299" s="235">
        <f ca="1">IF(OR(Tabela_Movimentacao[[#This Row],[Status]]="Em Aberto",Tabela_Movimentacao[[#This Row],[Status]]="Prorrogado"),Tabela_Movimentacao[[#This Row],[Valor]],0)</f>
        <v>0</v>
      </c>
      <c r="V299" s="219">
        <f ca="1">IF(Tabela_Movimentacao[[#This Row],[Status]]="Cancelado","",IF(Tabela_Movimentacao[[#This Row],[Status]]&lt;&gt;"Pago","",Tabela_Movimentacao[[#This Row],[Valor]]))</f>
        <v>340.75</v>
      </c>
    </row>
    <row r="300" spans="1:22" ht="35.5" hidden="1" customHeight="1" x14ac:dyDescent="0.35">
      <c r="A300" s="222" t="str">
        <f t="shared" si="44"/>
        <v>E290</v>
      </c>
      <c r="B300" s="223" t="str">
        <f t="shared" si="36"/>
        <v>FILE</v>
      </c>
      <c r="C300" s="224" t="s">
        <v>56</v>
      </c>
      <c r="D300" s="225" t="s">
        <v>34</v>
      </c>
      <c r="E300" s="226" t="s">
        <v>15</v>
      </c>
      <c r="F300" s="227" t="s">
        <v>527</v>
      </c>
      <c r="G300" s="228">
        <v>44295</v>
      </c>
      <c r="H300" s="229" t="s">
        <v>64</v>
      </c>
      <c r="I300" s="225" t="s">
        <v>435</v>
      </c>
      <c r="J300" s="225" t="s">
        <v>327</v>
      </c>
      <c r="K300" s="230">
        <v>340.75</v>
      </c>
      <c r="L300" s="228">
        <v>44295</v>
      </c>
      <c r="M300" s="229" t="s">
        <v>44</v>
      </c>
      <c r="N300" s="229"/>
      <c r="O300" s="228"/>
      <c r="P300" s="228">
        <v>44295</v>
      </c>
      <c r="Q30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30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-340.75</v>
      </c>
      <c r="U300" s="235">
        <f ca="1">IF(OR(Tabela_Movimentacao[[#This Row],[Status]]="Em Aberto",Tabela_Movimentacao[[#This Row],[Status]]="Prorrogado"),Tabela_Movimentacao[[#This Row],[Valor]],0)</f>
        <v>0</v>
      </c>
      <c r="V300" s="219">
        <f ca="1">IF(Tabela_Movimentacao[[#This Row],[Status]]="Cancelado","",IF(Tabela_Movimentacao[[#This Row],[Status]]&lt;&gt;"Pago","",Tabela_Movimentacao[[#This Row],[Valor]]))</f>
        <v>340.75</v>
      </c>
    </row>
    <row r="301" spans="1:22" ht="35.5" hidden="1" customHeight="1" x14ac:dyDescent="0.35">
      <c r="A301" s="222" t="str">
        <f t="shared" ref="A301:A302" si="45">"E"&amp;ROW()-10</f>
        <v>E291</v>
      </c>
      <c r="B301" s="223" t="str">
        <f t="shared" si="36"/>
        <v>FILE</v>
      </c>
      <c r="C301" s="224" t="s">
        <v>62</v>
      </c>
      <c r="D301" s="224" t="s">
        <v>104</v>
      </c>
      <c r="E301" s="237" t="s">
        <v>59</v>
      </c>
      <c r="F301" s="227" t="s">
        <v>463</v>
      </c>
      <c r="G301" s="228">
        <v>44295</v>
      </c>
      <c r="H301" s="229" t="s">
        <v>65</v>
      </c>
      <c r="I301" s="225" t="s">
        <v>222</v>
      </c>
      <c r="J301" s="225" t="s">
        <v>327</v>
      </c>
      <c r="K301" s="230">
        <v>1079.9000000000001</v>
      </c>
      <c r="L301" s="228">
        <v>44295</v>
      </c>
      <c r="M301" s="229" t="s">
        <v>44</v>
      </c>
      <c r="N301" s="229"/>
      <c r="O301" s="228"/>
      <c r="P301" s="228">
        <v>44295</v>
      </c>
      <c r="Q30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30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1079.9000000000001</v>
      </c>
      <c r="U301" s="235">
        <f ca="1">IF(OR(Tabela_Movimentacao[[#This Row],[Status]]="Em Aberto",Tabela_Movimentacao[[#This Row],[Status]]="Prorrogado"),Tabela_Movimentacao[[#This Row],[Valor]],0)</f>
        <v>0</v>
      </c>
      <c r="V301" s="219">
        <f ca="1">IF(Tabela_Movimentacao[[#This Row],[Status]]="Cancelado","",IF(Tabela_Movimentacao[[#This Row],[Status]]&lt;&gt;"Pago","",Tabela_Movimentacao[[#This Row],[Valor]]))</f>
        <v>1079.9000000000001</v>
      </c>
    </row>
    <row r="302" spans="1:22" ht="35.5" hidden="1" customHeight="1" x14ac:dyDescent="0.35">
      <c r="A302" s="222" t="str">
        <f t="shared" si="45"/>
        <v>E292</v>
      </c>
      <c r="B302" s="223" t="str">
        <f t="shared" si="36"/>
        <v>FILE</v>
      </c>
      <c r="C302" s="224" t="s">
        <v>56</v>
      </c>
      <c r="D302" s="225" t="s">
        <v>49</v>
      </c>
      <c r="E302" s="226" t="s">
        <v>48</v>
      </c>
      <c r="F302" s="227" t="s">
        <v>463</v>
      </c>
      <c r="G302" s="228">
        <v>44295</v>
      </c>
      <c r="H302" s="229" t="s">
        <v>65</v>
      </c>
      <c r="I302" s="225" t="s">
        <v>464</v>
      </c>
      <c r="J302" s="225" t="s">
        <v>327</v>
      </c>
      <c r="K302" s="230">
        <v>1079.9000000000001</v>
      </c>
      <c r="L302" s="228">
        <v>44295</v>
      </c>
      <c r="M302" s="229" t="s">
        <v>44</v>
      </c>
      <c r="N302" s="229"/>
      <c r="O302" s="228"/>
      <c r="P302" s="228">
        <v>44295</v>
      </c>
      <c r="Q30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30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-1079.9000000000001</v>
      </c>
      <c r="U302" s="235">
        <f ca="1">IF(OR(Tabela_Movimentacao[[#This Row],[Status]]="Em Aberto",Tabela_Movimentacao[[#This Row],[Status]]="Prorrogado"),Tabela_Movimentacao[[#This Row],[Valor]],0)</f>
        <v>0</v>
      </c>
      <c r="V302" s="219">
        <f ca="1">IF(Tabela_Movimentacao[[#This Row],[Status]]="Cancelado","",IF(Tabela_Movimentacao[[#This Row],[Status]]&lt;&gt;"Pago","",Tabela_Movimentacao[[#This Row],[Valor]]))</f>
        <v>1079.9000000000001</v>
      </c>
    </row>
    <row r="303" spans="1:22" ht="35.5" hidden="1" customHeight="1" x14ac:dyDescent="0.35">
      <c r="A303" s="222" t="str">
        <f t="shared" ref="A303:A311" si="46">"E"&amp;ROW()-10</f>
        <v>E293</v>
      </c>
      <c r="B303" s="223" t="str">
        <f t="shared" si="36"/>
        <v>FILE</v>
      </c>
      <c r="C303" s="224" t="s">
        <v>62</v>
      </c>
      <c r="D303" s="224" t="s">
        <v>104</v>
      </c>
      <c r="E303" s="226" t="s">
        <v>59</v>
      </c>
      <c r="F303" s="227" t="s">
        <v>473</v>
      </c>
      <c r="G303" s="228">
        <v>44295</v>
      </c>
      <c r="H303" s="229" t="s">
        <v>64</v>
      </c>
      <c r="I303" s="225" t="s">
        <v>222</v>
      </c>
      <c r="J303" s="225" t="s">
        <v>327</v>
      </c>
      <c r="K303" s="230">
        <v>4000</v>
      </c>
      <c r="L303" s="228">
        <v>44295</v>
      </c>
      <c r="M303" s="229" t="s">
        <v>47</v>
      </c>
      <c r="N303" s="229"/>
      <c r="O303" s="228"/>
      <c r="P303" s="228">
        <v>44295</v>
      </c>
      <c r="Q30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30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4000</v>
      </c>
      <c r="U303" s="235">
        <f ca="1">IF(OR(Tabela_Movimentacao[[#This Row],[Status]]="Em Aberto",Tabela_Movimentacao[[#This Row],[Status]]="Prorrogado"),Tabela_Movimentacao[[#This Row],[Valor]],0)</f>
        <v>0</v>
      </c>
      <c r="V303" s="219">
        <f ca="1">IF(Tabela_Movimentacao[[#This Row],[Status]]="Cancelado","",IF(Tabela_Movimentacao[[#This Row],[Status]]&lt;&gt;"Pago","",Tabela_Movimentacao[[#This Row],[Valor]]))</f>
        <v>4000</v>
      </c>
    </row>
    <row r="304" spans="1:22" ht="35.5" hidden="1" customHeight="1" x14ac:dyDescent="0.35">
      <c r="A304" s="222" t="str">
        <f t="shared" si="46"/>
        <v>E294</v>
      </c>
      <c r="B304" s="223" t="str">
        <f t="shared" si="36"/>
        <v>FILE</v>
      </c>
      <c r="C304" s="224" t="s">
        <v>56</v>
      </c>
      <c r="D304" s="224" t="s">
        <v>49</v>
      </c>
      <c r="E304" s="226" t="s">
        <v>50</v>
      </c>
      <c r="F304" s="227" t="s">
        <v>473</v>
      </c>
      <c r="G304" s="228">
        <v>44295</v>
      </c>
      <c r="H304" s="229" t="s">
        <v>64</v>
      </c>
      <c r="I304" s="224" t="s">
        <v>329</v>
      </c>
      <c r="J304" s="225" t="s">
        <v>327</v>
      </c>
      <c r="K304" s="230">
        <v>4000</v>
      </c>
      <c r="L304" s="228">
        <v>44295</v>
      </c>
      <c r="M304" s="229" t="s">
        <v>47</v>
      </c>
      <c r="N304" s="229"/>
      <c r="O304" s="228"/>
      <c r="P304" s="228">
        <v>44295</v>
      </c>
      <c r="Q30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44295</v>
      </c>
      <c r="S30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-4000</v>
      </c>
      <c r="U304" s="235">
        <f ca="1">IF(OR(Tabela_Movimentacao[[#This Row],[Status]]="Em Aberto",Tabela_Movimentacao[[#This Row],[Status]]="Prorrogado"),Tabela_Movimentacao[[#This Row],[Valor]],0)</f>
        <v>0</v>
      </c>
      <c r="V304" s="219">
        <f ca="1">IF(Tabela_Movimentacao[[#This Row],[Status]]="Cancelado","",IF(Tabela_Movimentacao[[#This Row],[Status]]&lt;&gt;"Pago","",Tabela_Movimentacao[[#This Row],[Valor]]))</f>
        <v>4000</v>
      </c>
    </row>
    <row r="305" spans="1:22" ht="35.5" hidden="1" customHeight="1" x14ac:dyDescent="0.35">
      <c r="A305" s="222" t="str">
        <f t="shared" si="46"/>
        <v>E295</v>
      </c>
      <c r="B305" s="223" t="str">
        <f t="shared" si="36"/>
        <v>FILE</v>
      </c>
      <c r="C305" s="224" t="s">
        <v>62</v>
      </c>
      <c r="D305" s="224" t="s">
        <v>104</v>
      </c>
      <c r="E305" s="237" t="s">
        <v>59</v>
      </c>
      <c r="F305" s="227" t="s">
        <v>471</v>
      </c>
      <c r="G305" s="228">
        <v>44302</v>
      </c>
      <c r="H305" s="229" t="s">
        <v>64</v>
      </c>
      <c r="I305" s="225" t="s">
        <v>222</v>
      </c>
      <c r="J305" s="225" t="s">
        <v>327</v>
      </c>
      <c r="K305" s="230">
        <v>190</v>
      </c>
      <c r="L305" s="228">
        <v>44302</v>
      </c>
      <c r="M305" s="229" t="s">
        <v>105</v>
      </c>
      <c r="N305" s="229"/>
      <c r="O305" s="228"/>
      <c r="P305" s="228">
        <v>44302</v>
      </c>
      <c r="Q30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44302</v>
      </c>
      <c r="S30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190</v>
      </c>
      <c r="U305" s="235">
        <f ca="1">IF(OR(Tabela_Movimentacao[[#This Row],[Status]]="Em Aberto",Tabela_Movimentacao[[#This Row],[Status]]="Prorrogado"),Tabela_Movimentacao[[#This Row],[Valor]],0)</f>
        <v>0</v>
      </c>
      <c r="V305" s="220">
        <f ca="1">IF(Tabela_Movimentacao[[#This Row],[Status]]="Cancelado","",IF(Tabela_Movimentacao[[#This Row],[Status]]&lt;&gt;"Pago","",Tabela_Movimentacao[[#This Row],[Valor]]))</f>
        <v>190</v>
      </c>
    </row>
    <row r="306" spans="1:22" ht="35.5" hidden="1" customHeight="1" x14ac:dyDescent="0.35">
      <c r="A306" s="222" t="str">
        <f t="shared" si="46"/>
        <v>E296</v>
      </c>
      <c r="B306" s="223" t="str">
        <f t="shared" si="36"/>
        <v>FILE</v>
      </c>
      <c r="C306" s="224" t="s">
        <v>62</v>
      </c>
      <c r="D306" s="224" t="s">
        <v>104</v>
      </c>
      <c r="E306" s="237" t="s">
        <v>59</v>
      </c>
      <c r="F306" s="227" t="s">
        <v>470</v>
      </c>
      <c r="G306" s="228">
        <v>44302</v>
      </c>
      <c r="H306" s="229" t="s">
        <v>64</v>
      </c>
      <c r="I306" s="225" t="s">
        <v>222</v>
      </c>
      <c r="J306" s="225" t="s">
        <v>327</v>
      </c>
      <c r="K306" s="230">
        <v>21.99</v>
      </c>
      <c r="L306" s="228">
        <v>44302</v>
      </c>
      <c r="M306" s="229" t="s">
        <v>105</v>
      </c>
      <c r="N306" s="229"/>
      <c r="O306" s="228"/>
      <c r="P306" s="228">
        <v>44302</v>
      </c>
      <c r="Q30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44302</v>
      </c>
      <c r="S30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21.99</v>
      </c>
      <c r="U306" s="235">
        <f ca="1">IF(OR(Tabela_Movimentacao[[#This Row],[Status]]="Em Aberto",Tabela_Movimentacao[[#This Row],[Status]]="Prorrogado"),Tabela_Movimentacao[[#This Row],[Valor]],0)</f>
        <v>0</v>
      </c>
      <c r="V306" s="220">
        <f ca="1">IF(Tabela_Movimentacao[[#This Row],[Status]]="Cancelado","",IF(Tabela_Movimentacao[[#This Row],[Status]]&lt;&gt;"Pago","",Tabela_Movimentacao[[#This Row],[Valor]]))</f>
        <v>21.99</v>
      </c>
    </row>
    <row r="307" spans="1:22" ht="35.5" hidden="1" customHeight="1" x14ac:dyDescent="0.35">
      <c r="A307" s="222" t="str">
        <f t="shared" si="46"/>
        <v>E297</v>
      </c>
      <c r="B307" s="223" t="str">
        <f t="shared" si="36"/>
        <v>FILE</v>
      </c>
      <c r="C307" s="224" t="s">
        <v>56</v>
      </c>
      <c r="D307" s="225" t="s">
        <v>8</v>
      </c>
      <c r="E307" s="226" t="s">
        <v>88</v>
      </c>
      <c r="F307" s="227" t="s">
        <v>470</v>
      </c>
      <c r="G307" s="228">
        <v>44302</v>
      </c>
      <c r="H307" s="229" t="s">
        <v>64</v>
      </c>
      <c r="I307" s="225" t="s">
        <v>272</v>
      </c>
      <c r="J307" s="225" t="s">
        <v>327</v>
      </c>
      <c r="K307" s="230">
        <v>21.99</v>
      </c>
      <c r="L307" s="228">
        <v>44230</v>
      </c>
      <c r="M307" s="229" t="s">
        <v>105</v>
      </c>
      <c r="N307" s="229"/>
      <c r="O307" s="228"/>
      <c r="P307" s="228">
        <v>44302</v>
      </c>
      <c r="Q30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44230</v>
      </c>
      <c r="S30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-21.99</v>
      </c>
      <c r="U307" s="235">
        <f ca="1">IF(OR(Tabela_Movimentacao[[#This Row],[Status]]="Em Aberto",Tabela_Movimentacao[[#This Row],[Status]]="Prorrogado"),Tabela_Movimentacao[[#This Row],[Valor]],0)</f>
        <v>0</v>
      </c>
      <c r="V307" s="220">
        <f ca="1">IF(Tabela_Movimentacao[[#This Row],[Status]]="Cancelado","",IF(Tabela_Movimentacao[[#This Row],[Status]]&lt;&gt;"Pago","",Tabela_Movimentacao[[#This Row],[Valor]]))</f>
        <v>21.99</v>
      </c>
    </row>
    <row r="308" spans="1:22" ht="35.5" hidden="1" customHeight="1" x14ac:dyDescent="0.35">
      <c r="A308" s="222" t="str">
        <f t="shared" si="46"/>
        <v>E298</v>
      </c>
      <c r="B308" s="223" t="str">
        <f t="shared" si="36"/>
        <v>FILE</v>
      </c>
      <c r="C308" s="224" t="s">
        <v>62</v>
      </c>
      <c r="D308" s="225" t="s">
        <v>104</v>
      </c>
      <c r="E308" s="226" t="s">
        <v>59</v>
      </c>
      <c r="F308" s="227" t="s">
        <v>472</v>
      </c>
      <c r="G308" s="228">
        <v>44265</v>
      </c>
      <c r="H308" s="229" t="s">
        <v>64</v>
      </c>
      <c r="I308" s="225" t="s">
        <v>222</v>
      </c>
      <c r="J308" s="225" t="s">
        <v>327</v>
      </c>
      <c r="K308" s="230">
        <v>976.03</v>
      </c>
      <c r="L308" s="228">
        <v>44300</v>
      </c>
      <c r="M308" s="229" t="s">
        <v>105</v>
      </c>
      <c r="N308" s="229"/>
      <c r="O308" s="228"/>
      <c r="P308" s="228">
        <v>44296</v>
      </c>
      <c r="Q30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0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976.03</v>
      </c>
      <c r="U308" s="235">
        <f ca="1">IF(OR(Tabela_Movimentacao[[#This Row],[Status]]="Em Aberto",Tabela_Movimentacao[[#This Row],[Status]]="Prorrogado"),Tabela_Movimentacao[[#This Row],[Valor]],0)</f>
        <v>0</v>
      </c>
      <c r="V308" s="220">
        <f ca="1">IF(Tabela_Movimentacao[[#This Row],[Status]]="Cancelado","",IF(Tabela_Movimentacao[[#This Row],[Status]]&lt;&gt;"Pago","",Tabela_Movimentacao[[#This Row],[Valor]]))</f>
        <v>976.03</v>
      </c>
    </row>
    <row r="309" spans="1:22" ht="35.5" hidden="1" customHeight="1" x14ac:dyDescent="0.35">
      <c r="A309" s="222" t="str">
        <f t="shared" si="46"/>
        <v>E299</v>
      </c>
      <c r="B309" s="223" t="str">
        <f t="shared" si="36"/>
        <v>FILE</v>
      </c>
      <c r="C309" s="224" t="s">
        <v>56</v>
      </c>
      <c r="D309" s="225" t="s">
        <v>13</v>
      </c>
      <c r="E309" s="226" t="s">
        <v>16</v>
      </c>
      <c r="F309" s="227" t="s">
        <v>472</v>
      </c>
      <c r="G309" s="228">
        <v>44265</v>
      </c>
      <c r="H309" s="229" t="s">
        <v>64</v>
      </c>
      <c r="I309" s="225" t="s">
        <v>173</v>
      </c>
      <c r="J309" s="225" t="s">
        <v>327</v>
      </c>
      <c r="K309" s="230">
        <v>976.03</v>
      </c>
      <c r="L309" s="228">
        <v>44300</v>
      </c>
      <c r="M309" s="229" t="s">
        <v>105</v>
      </c>
      <c r="N309" s="229"/>
      <c r="O309" s="228"/>
      <c r="P309" s="228">
        <v>44296</v>
      </c>
      <c r="Q30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0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0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0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-976.03</v>
      </c>
      <c r="U309" s="235">
        <f ca="1">IF(OR(Tabela_Movimentacao[[#This Row],[Status]]="Em Aberto",Tabela_Movimentacao[[#This Row],[Status]]="Prorrogado"),Tabela_Movimentacao[[#This Row],[Valor]],0)</f>
        <v>0</v>
      </c>
      <c r="V309" s="220">
        <f ca="1">IF(Tabela_Movimentacao[[#This Row],[Status]]="Cancelado","",IF(Tabela_Movimentacao[[#This Row],[Status]]&lt;&gt;"Pago","",Tabela_Movimentacao[[#This Row],[Valor]]))</f>
        <v>976.03</v>
      </c>
    </row>
    <row r="310" spans="1:22" ht="35.5" hidden="1" customHeight="1" x14ac:dyDescent="0.35">
      <c r="A310" s="222" t="str">
        <f t="shared" si="46"/>
        <v>E300</v>
      </c>
      <c r="B310" s="223" t="str">
        <f t="shared" si="36"/>
        <v>FILE</v>
      </c>
      <c r="C310" s="224" t="s">
        <v>62</v>
      </c>
      <c r="D310" s="224" t="s">
        <v>104</v>
      </c>
      <c r="E310" s="237" t="s">
        <v>59</v>
      </c>
      <c r="F310" s="227" t="s">
        <v>473</v>
      </c>
      <c r="G310" s="228">
        <v>44300</v>
      </c>
      <c r="H310" s="229" t="s">
        <v>63</v>
      </c>
      <c r="I310" s="238" t="s">
        <v>222</v>
      </c>
      <c r="J310" s="225" t="s">
        <v>327</v>
      </c>
      <c r="K310" s="230">
        <v>2378.9499999999998</v>
      </c>
      <c r="L310" s="228">
        <v>44300</v>
      </c>
      <c r="M310" s="229" t="s">
        <v>105</v>
      </c>
      <c r="N310" s="229"/>
      <c r="O310" s="228"/>
      <c r="P310" s="228">
        <v>44300</v>
      </c>
      <c r="Q31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2378.9499999999998</v>
      </c>
      <c r="U310" s="235">
        <f ca="1">IF(OR(Tabela_Movimentacao[[#This Row],[Status]]="Em Aberto",Tabela_Movimentacao[[#This Row],[Status]]="Prorrogado"),Tabela_Movimentacao[[#This Row],[Valor]],0)</f>
        <v>0</v>
      </c>
      <c r="V310" s="220">
        <f ca="1">IF(Tabela_Movimentacao[[#This Row],[Status]]="Cancelado","",IF(Tabela_Movimentacao[[#This Row],[Status]]&lt;&gt;"Pago","",Tabela_Movimentacao[[#This Row],[Valor]]))</f>
        <v>2378.9499999999998</v>
      </c>
    </row>
    <row r="311" spans="1:22" ht="35.5" hidden="1" customHeight="1" x14ac:dyDescent="0.35">
      <c r="A311" s="222" t="str">
        <f t="shared" si="46"/>
        <v>E301</v>
      </c>
      <c r="B311" s="223" t="str">
        <f t="shared" si="36"/>
        <v>FILE</v>
      </c>
      <c r="C311" s="224" t="s">
        <v>56</v>
      </c>
      <c r="D311" s="225" t="s">
        <v>49</v>
      </c>
      <c r="E311" s="226" t="s">
        <v>50</v>
      </c>
      <c r="F311" s="227" t="s">
        <v>473</v>
      </c>
      <c r="G311" s="228">
        <v>44300</v>
      </c>
      <c r="H311" s="229" t="s">
        <v>63</v>
      </c>
      <c r="I311" s="224" t="s">
        <v>329</v>
      </c>
      <c r="J311" s="225" t="s">
        <v>327</v>
      </c>
      <c r="K311" s="230">
        <v>2378.9499999999998</v>
      </c>
      <c r="L311" s="228">
        <v>44300</v>
      </c>
      <c r="M311" s="229" t="s">
        <v>105</v>
      </c>
      <c r="N311" s="229"/>
      <c r="O311" s="228"/>
      <c r="P311" s="228">
        <v>44300</v>
      </c>
      <c r="Q31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-2378.9499999999998</v>
      </c>
      <c r="U311" s="235">
        <f ca="1">IF(OR(Tabela_Movimentacao[[#This Row],[Status]]="Em Aberto",Tabela_Movimentacao[[#This Row],[Status]]="Prorrogado"),Tabela_Movimentacao[[#This Row],[Valor]],0)</f>
        <v>0</v>
      </c>
      <c r="V311" s="220">
        <f ca="1">IF(Tabela_Movimentacao[[#This Row],[Status]]="Cancelado","",IF(Tabela_Movimentacao[[#This Row],[Status]]&lt;&gt;"Pago","",Tabela_Movimentacao[[#This Row],[Valor]]))</f>
        <v>2378.9499999999998</v>
      </c>
    </row>
    <row r="312" spans="1:22" ht="35.5" hidden="1" customHeight="1" x14ac:dyDescent="0.35">
      <c r="A312" s="222" t="str">
        <f t="shared" ref="A312:A313" si="47">"E"&amp;ROW()-10</f>
        <v>E302</v>
      </c>
      <c r="B312" s="223" t="str">
        <f t="shared" si="36"/>
        <v>FILE</v>
      </c>
      <c r="C312" s="224" t="s">
        <v>62</v>
      </c>
      <c r="D312" s="224" t="s">
        <v>104</v>
      </c>
      <c r="E312" s="237" t="s">
        <v>59</v>
      </c>
      <c r="F312" s="227" t="s">
        <v>473</v>
      </c>
      <c r="G312" s="228">
        <v>44300</v>
      </c>
      <c r="H312" s="229" t="s">
        <v>65</v>
      </c>
      <c r="I312" s="238" t="s">
        <v>222</v>
      </c>
      <c r="J312" s="225" t="s">
        <v>327</v>
      </c>
      <c r="K312" s="230">
        <v>2378.9499999999998</v>
      </c>
      <c r="L312" s="228">
        <v>44300</v>
      </c>
      <c r="M312" s="229" t="s">
        <v>105</v>
      </c>
      <c r="N312" s="229"/>
      <c r="O312" s="228"/>
      <c r="P312" s="228">
        <v>44300</v>
      </c>
      <c r="Q31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2378.9499999999998</v>
      </c>
      <c r="U312" s="235">
        <f ca="1">IF(OR(Tabela_Movimentacao[[#This Row],[Status]]="Em Aberto",Tabela_Movimentacao[[#This Row],[Status]]="Prorrogado"),Tabela_Movimentacao[[#This Row],[Valor]],0)</f>
        <v>0</v>
      </c>
      <c r="V312" s="219">
        <f ca="1">IF(Tabela_Movimentacao[[#This Row],[Status]]="Cancelado","",IF(Tabela_Movimentacao[[#This Row],[Status]]&lt;&gt;"Pago","",Tabela_Movimentacao[[#This Row],[Valor]]))</f>
        <v>2378.9499999999998</v>
      </c>
    </row>
    <row r="313" spans="1:22" ht="35.5" hidden="1" customHeight="1" x14ac:dyDescent="0.35">
      <c r="A313" s="222" t="str">
        <f t="shared" si="47"/>
        <v>E303</v>
      </c>
      <c r="B313" s="223" t="str">
        <f t="shared" si="36"/>
        <v>FILE</v>
      </c>
      <c r="C313" s="224" t="s">
        <v>56</v>
      </c>
      <c r="D313" s="224" t="s">
        <v>49</v>
      </c>
      <c r="E313" s="237" t="s">
        <v>50</v>
      </c>
      <c r="F313" s="227" t="s">
        <v>473</v>
      </c>
      <c r="G313" s="228">
        <v>44300</v>
      </c>
      <c r="H313" s="229" t="s">
        <v>65</v>
      </c>
      <c r="I313" s="224" t="s">
        <v>329</v>
      </c>
      <c r="J313" s="225" t="s">
        <v>327</v>
      </c>
      <c r="K313" s="230">
        <v>2378.9499999999998</v>
      </c>
      <c r="L313" s="228">
        <v>44300</v>
      </c>
      <c r="M313" s="229" t="s">
        <v>105</v>
      </c>
      <c r="N313" s="229"/>
      <c r="O313" s="228"/>
      <c r="P313" s="228">
        <v>44300</v>
      </c>
      <c r="Q31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-2378.9499999999998</v>
      </c>
      <c r="U313" s="235">
        <f ca="1">IF(OR(Tabela_Movimentacao[[#This Row],[Status]]="Em Aberto",Tabela_Movimentacao[[#This Row],[Status]]="Prorrogado"),Tabela_Movimentacao[[#This Row],[Valor]],0)</f>
        <v>0</v>
      </c>
      <c r="V313" s="220">
        <f ca="1">IF(Tabela_Movimentacao[[#This Row],[Status]]="Cancelado","",IF(Tabela_Movimentacao[[#This Row],[Status]]&lt;&gt;"Pago","",Tabela_Movimentacao[[#This Row],[Valor]]))</f>
        <v>2378.9499999999998</v>
      </c>
    </row>
    <row r="314" spans="1:22" ht="35.5" hidden="1" customHeight="1" x14ac:dyDescent="0.35">
      <c r="A314" s="222" t="str">
        <f t="shared" ref="A314:A315" si="48">"E"&amp;ROW()-10</f>
        <v>E304</v>
      </c>
      <c r="B314" s="223" t="str">
        <f t="shared" si="36"/>
        <v>FILE</v>
      </c>
      <c r="C314" s="224" t="s">
        <v>62</v>
      </c>
      <c r="D314" s="224" t="s">
        <v>104</v>
      </c>
      <c r="E314" s="237" t="s">
        <v>59</v>
      </c>
      <c r="F314" s="227" t="s">
        <v>474</v>
      </c>
      <c r="G314" s="228">
        <v>44302</v>
      </c>
      <c r="H314" s="229" t="s">
        <v>64</v>
      </c>
      <c r="I314" s="225" t="s">
        <v>222</v>
      </c>
      <c r="J314" s="225" t="s">
        <v>327</v>
      </c>
      <c r="K314" s="230">
        <v>4000</v>
      </c>
      <c r="L314" s="228">
        <v>44302</v>
      </c>
      <c r="M314" s="229" t="s">
        <v>47</v>
      </c>
      <c r="N314" s="229"/>
      <c r="O314" s="228"/>
      <c r="P314" s="228">
        <v>44302</v>
      </c>
      <c r="Q31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44302</v>
      </c>
      <c r="S31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4000</v>
      </c>
      <c r="U314" s="235">
        <f ca="1">IF(OR(Tabela_Movimentacao[[#This Row],[Status]]="Em Aberto",Tabela_Movimentacao[[#This Row],[Status]]="Prorrogado"),Tabela_Movimentacao[[#This Row],[Valor]],0)</f>
        <v>0</v>
      </c>
      <c r="V314" s="219">
        <f ca="1">IF(Tabela_Movimentacao[[#This Row],[Status]]="Cancelado","",IF(Tabela_Movimentacao[[#This Row],[Status]]&lt;&gt;"Pago","",Tabela_Movimentacao[[#This Row],[Valor]]))</f>
        <v>4000</v>
      </c>
    </row>
    <row r="315" spans="1:22" ht="35.5" hidden="1" customHeight="1" x14ac:dyDescent="0.35">
      <c r="A315" s="222" t="str">
        <f t="shared" si="48"/>
        <v>E305</v>
      </c>
      <c r="B315" s="223" t="str">
        <f t="shared" si="36"/>
        <v>FILE</v>
      </c>
      <c r="C315" s="224" t="s">
        <v>56</v>
      </c>
      <c r="D315" s="224" t="s">
        <v>49</v>
      </c>
      <c r="E315" s="237" t="s">
        <v>50</v>
      </c>
      <c r="F315" s="227" t="s">
        <v>474</v>
      </c>
      <c r="G315" s="228">
        <v>44302</v>
      </c>
      <c r="H315" s="229" t="s">
        <v>64</v>
      </c>
      <c r="I315" s="224" t="s">
        <v>329</v>
      </c>
      <c r="J315" s="225" t="s">
        <v>327</v>
      </c>
      <c r="K315" s="230">
        <v>4000</v>
      </c>
      <c r="L315" s="228">
        <v>44302</v>
      </c>
      <c r="M315" s="229" t="s">
        <v>105</v>
      </c>
      <c r="N315" s="229"/>
      <c r="O315" s="228"/>
      <c r="P315" s="228">
        <v>44302</v>
      </c>
      <c r="Q31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44302</v>
      </c>
      <c r="S31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-4000</v>
      </c>
      <c r="U315" s="235">
        <f ca="1">IF(OR(Tabela_Movimentacao[[#This Row],[Status]]="Em Aberto",Tabela_Movimentacao[[#This Row],[Status]]="Prorrogado"),Tabela_Movimentacao[[#This Row],[Valor]],0)</f>
        <v>0</v>
      </c>
      <c r="V315" s="219">
        <f ca="1">IF(Tabela_Movimentacao[[#This Row],[Status]]="Cancelado","",IF(Tabela_Movimentacao[[#This Row],[Status]]&lt;&gt;"Pago","",Tabela_Movimentacao[[#This Row],[Valor]]))</f>
        <v>4000</v>
      </c>
    </row>
    <row r="316" spans="1:22" ht="35.5" hidden="1" customHeight="1" x14ac:dyDescent="0.35">
      <c r="A316" s="222" t="str">
        <f t="shared" ref="A316:A321" si="49">"E"&amp;ROW()-10</f>
        <v>E306</v>
      </c>
      <c r="B316" s="223" t="str">
        <f t="shared" si="36"/>
        <v>FILE</v>
      </c>
      <c r="C316" s="224" t="s">
        <v>62</v>
      </c>
      <c r="D316" s="224" t="s">
        <v>104</v>
      </c>
      <c r="E316" s="237" t="s">
        <v>59</v>
      </c>
      <c r="F316" s="227" t="s">
        <v>477</v>
      </c>
      <c r="G316" s="228">
        <v>44300</v>
      </c>
      <c r="H316" s="229" t="s">
        <v>63</v>
      </c>
      <c r="I316" s="225" t="s">
        <v>222</v>
      </c>
      <c r="J316" s="225" t="s">
        <v>327</v>
      </c>
      <c r="K316" s="230">
        <v>100</v>
      </c>
      <c r="L316" s="228">
        <v>44300</v>
      </c>
      <c r="M316" s="229" t="s">
        <v>47</v>
      </c>
      <c r="N316" s="229"/>
      <c r="O316" s="228"/>
      <c r="P316" s="228">
        <v>44300</v>
      </c>
      <c r="Q31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</v>
      </c>
      <c r="U316" s="235">
        <f ca="1">IF(OR(Tabela_Movimentacao[[#This Row],[Status]]="Em Aberto",Tabela_Movimentacao[[#This Row],[Status]]="Prorrogado"),Tabela_Movimentacao[[#This Row],[Valor]],0)</f>
        <v>0</v>
      </c>
      <c r="V316" s="220">
        <f ca="1">IF(Tabela_Movimentacao[[#This Row],[Status]]="Cancelado","",IF(Tabela_Movimentacao[[#This Row],[Status]]&lt;&gt;"Pago","",Tabela_Movimentacao[[#This Row],[Valor]]))</f>
        <v>100</v>
      </c>
    </row>
    <row r="317" spans="1:22" ht="35.5" hidden="1" customHeight="1" x14ac:dyDescent="0.35">
      <c r="A317" s="222" t="str">
        <f t="shared" si="49"/>
        <v>E307</v>
      </c>
      <c r="B317" s="223" t="str">
        <f t="shared" si="36"/>
        <v>FILE</v>
      </c>
      <c r="C317" s="224" t="s">
        <v>56</v>
      </c>
      <c r="D317" s="224" t="s">
        <v>49</v>
      </c>
      <c r="E317" s="237" t="s">
        <v>48</v>
      </c>
      <c r="F317" s="227" t="s">
        <v>477</v>
      </c>
      <c r="G317" s="228">
        <v>44300</v>
      </c>
      <c r="H317" s="229" t="s">
        <v>63</v>
      </c>
      <c r="I317" s="225" t="s">
        <v>476</v>
      </c>
      <c r="J317" s="225" t="s">
        <v>327</v>
      </c>
      <c r="K317" s="230">
        <v>100</v>
      </c>
      <c r="L317" s="228">
        <v>44300</v>
      </c>
      <c r="M317" s="229" t="s">
        <v>47</v>
      </c>
      <c r="N317" s="229"/>
      <c r="O317" s="228"/>
      <c r="P317" s="228">
        <v>44300</v>
      </c>
      <c r="Q31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</v>
      </c>
      <c r="U317" s="235">
        <f ca="1">IF(OR(Tabela_Movimentacao[[#This Row],[Status]]="Em Aberto",Tabela_Movimentacao[[#This Row],[Status]]="Prorrogado"),Tabela_Movimentacao[[#This Row],[Valor]],0)</f>
        <v>0</v>
      </c>
      <c r="V317" s="220">
        <f ca="1">IF(Tabela_Movimentacao[[#This Row],[Status]]="Cancelado","",IF(Tabela_Movimentacao[[#This Row],[Status]]&lt;&gt;"Pago","",Tabela_Movimentacao[[#This Row],[Valor]]))</f>
        <v>100</v>
      </c>
    </row>
    <row r="318" spans="1:22" ht="35.5" hidden="1" customHeight="1" x14ac:dyDescent="0.35">
      <c r="A318" s="222" t="str">
        <f t="shared" si="49"/>
        <v>E308</v>
      </c>
      <c r="B318" s="223" t="str">
        <f t="shared" si="36"/>
        <v>FILE</v>
      </c>
      <c r="C318" s="224" t="s">
        <v>62</v>
      </c>
      <c r="D318" s="224" t="s">
        <v>104</v>
      </c>
      <c r="E318" s="237" t="s">
        <v>59</v>
      </c>
      <c r="F318" s="227" t="s">
        <v>478</v>
      </c>
      <c r="G318" s="228">
        <v>44300</v>
      </c>
      <c r="H318" s="229" t="s">
        <v>63</v>
      </c>
      <c r="I318" s="225" t="s">
        <v>222</v>
      </c>
      <c r="J318" s="225" t="s">
        <v>327</v>
      </c>
      <c r="K318" s="230">
        <v>1735</v>
      </c>
      <c r="L318" s="228">
        <v>44300</v>
      </c>
      <c r="M318" s="229" t="s">
        <v>44</v>
      </c>
      <c r="N318" s="229"/>
      <c r="O318" s="228"/>
      <c r="P318" s="228">
        <v>44300</v>
      </c>
      <c r="Q31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1735</v>
      </c>
      <c r="U318" s="235">
        <f ca="1">IF(OR(Tabela_Movimentacao[[#This Row],[Status]]="Em Aberto",Tabela_Movimentacao[[#This Row],[Status]]="Prorrogado"),Tabela_Movimentacao[[#This Row],[Valor]],0)</f>
        <v>0</v>
      </c>
      <c r="V318" s="220">
        <f ca="1">IF(Tabela_Movimentacao[[#This Row],[Status]]="Cancelado","",IF(Tabela_Movimentacao[[#This Row],[Status]]&lt;&gt;"Pago","",Tabela_Movimentacao[[#This Row],[Valor]]))</f>
        <v>1735</v>
      </c>
    </row>
    <row r="319" spans="1:22" ht="35.5" hidden="1" customHeight="1" x14ac:dyDescent="0.35">
      <c r="A319" s="222" t="str">
        <f t="shared" si="49"/>
        <v>E309</v>
      </c>
      <c r="B319" s="223" t="str">
        <f t="shared" si="36"/>
        <v>FILE</v>
      </c>
      <c r="C319" s="224" t="s">
        <v>56</v>
      </c>
      <c r="D319" s="224" t="s">
        <v>49</v>
      </c>
      <c r="E319" s="237" t="s">
        <v>48</v>
      </c>
      <c r="F319" s="227" t="s">
        <v>478</v>
      </c>
      <c r="G319" s="228">
        <v>44300</v>
      </c>
      <c r="H319" s="229" t="s">
        <v>63</v>
      </c>
      <c r="I319" s="225" t="s">
        <v>283</v>
      </c>
      <c r="J319" s="225" t="s">
        <v>327</v>
      </c>
      <c r="K319" s="230">
        <v>1735</v>
      </c>
      <c r="L319" s="228">
        <v>44300</v>
      </c>
      <c r="M319" s="229" t="s">
        <v>44</v>
      </c>
      <c r="N319" s="229"/>
      <c r="O319" s="228"/>
      <c r="P319" s="228">
        <v>44300</v>
      </c>
      <c r="Q31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1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44300</v>
      </c>
      <c r="S31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1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-1735</v>
      </c>
      <c r="U319" s="235">
        <f ca="1">IF(OR(Tabela_Movimentacao[[#This Row],[Status]]="Em Aberto",Tabela_Movimentacao[[#This Row],[Status]]="Prorrogado"),Tabela_Movimentacao[[#This Row],[Valor]],0)</f>
        <v>0</v>
      </c>
      <c r="V319" s="220">
        <f ca="1">IF(Tabela_Movimentacao[[#This Row],[Status]]="Cancelado","",IF(Tabela_Movimentacao[[#This Row],[Status]]&lt;&gt;"Pago","",Tabela_Movimentacao[[#This Row],[Valor]]))</f>
        <v>1735</v>
      </c>
    </row>
    <row r="320" spans="1:22" ht="35.5" hidden="1" customHeight="1" x14ac:dyDescent="0.35">
      <c r="A320" s="222" t="str">
        <f t="shared" si="49"/>
        <v>E310</v>
      </c>
      <c r="B320" s="223" t="str">
        <f t="shared" si="36"/>
        <v>FILE</v>
      </c>
      <c r="C320" s="224" t="s">
        <v>62</v>
      </c>
      <c r="D320" s="224" t="s">
        <v>104</v>
      </c>
      <c r="E320" s="237" t="s">
        <v>59</v>
      </c>
      <c r="F320" s="227" t="s">
        <v>475</v>
      </c>
      <c r="G320" s="228">
        <v>44305</v>
      </c>
      <c r="H320" s="229" t="s">
        <v>64</v>
      </c>
      <c r="I320" s="225" t="s">
        <v>222</v>
      </c>
      <c r="J320" s="225" t="s">
        <v>327</v>
      </c>
      <c r="K320" s="230">
        <v>8957.61</v>
      </c>
      <c r="L320" s="228">
        <v>44305</v>
      </c>
      <c r="M320" s="229" t="s">
        <v>44</v>
      </c>
      <c r="N320" s="229"/>
      <c r="O320" s="228"/>
      <c r="P320" s="228">
        <v>44305</v>
      </c>
      <c r="Q32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44305</v>
      </c>
      <c r="S32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8957.61</v>
      </c>
      <c r="U320" s="235">
        <f ca="1">IF(OR(Tabela_Movimentacao[[#This Row],[Status]]="Em Aberto",Tabela_Movimentacao[[#This Row],[Status]]="Prorrogado"),Tabela_Movimentacao[[#This Row],[Valor]],0)</f>
        <v>0</v>
      </c>
      <c r="V320" s="220">
        <f ca="1">IF(Tabela_Movimentacao[[#This Row],[Status]]="Cancelado","",IF(Tabela_Movimentacao[[#This Row],[Status]]&lt;&gt;"Pago","",Tabela_Movimentacao[[#This Row],[Valor]]))</f>
        <v>8957.61</v>
      </c>
    </row>
    <row r="321" spans="1:22" ht="35.5" hidden="1" customHeight="1" x14ac:dyDescent="0.35">
      <c r="A321" s="222" t="str">
        <f t="shared" si="49"/>
        <v>E311</v>
      </c>
      <c r="B321" s="223" t="str">
        <f t="shared" si="36"/>
        <v>FILE</v>
      </c>
      <c r="C321" s="224" t="s">
        <v>56</v>
      </c>
      <c r="D321" s="224" t="s">
        <v>49</v>
      </c>
      <c r="E321" s="237" t="s">
        <v>48</v>
      </c>
      <c r="F321" s="227" t="s">
        <v>475</v>
      </c>
      <c r="G321" s="228">
        <v>44305</v>
      </c>
      <c r="H321" s="229" t="s">
        <v>64</v>
      </c>
      <c r="I321" s="225" t="s">
        <v>283</v>
      </c>
      <c r="J321" s="225" t="s">
        <v>327</v>
      </c>
      <c r="K321" s="230">
        <v>8957.61</v>
      </c>
      <c r="L321" s="228">
        <v>44305</v>
      </c>
      <c r="M321" s="229" t="s">
        <v>44</v>
      </c>
      <c r="N321" s="229"/>
      <c r="O321" s="228"/>
      <c r="P321" s="228">
        <v>44305</v>
      </c>
      <c r="Q32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44305</v>
      </c>
      <c r="S32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-8957.61</v>
      </c>
      <c r="U321" s="235">
        <f ca="1">IF(OR(Tabela_Movimentacao[[#This Row],[Status]]="Em Aberto",Tabela_Movimentacao[[#This Row],[Status]]="Prorrogado"),Tabela_Movimentacao[[#This Row],[Valor]],0)</f>
        <v>0</v>
      </c>
      <c r="V321" s="220">
        <f ca="1">IF(Tabela_Movimentacao[[#This Row],[Status]]="Cancelado","",IF(Tabela_Movimentacao[[#This Row],[Status]]&lt;&gt;"Pago","",Tabela_Movimentacao[[#This Row],[Valor]]))</f>
        <v>8957.61</v>
      </c>
    </row>
    <row r="322" spans="1:22" ht="35.5" hidden="1" customHeight="1" x14ac:dyDescent="0.35">
      <c r="A322" s="222" t="str">
        <f t="shared" ref="A322:A327" si="50">"E"&amp;ROW()-10</f>
        <v>E312</v>
      </c>
      <c r="B322" s="223" t="str">
        <f t="shared" si="36"/>
        <v>FILE</v>
      </c>
      <c r="C322" s="224" t="s">
        <v>62</v>
      </c>
      <c r="D322" s="224" t="s">
        <v>104</v>
      </c>
      <c r="E322" s="237" t="s">
        <v>59</v>
      </c>
      <c r="F322" s="227" t="s">
        <v>480</v>
      </c>
      <c r="G322" s="228">
        <v>44306</v>
      </c>
      <c r="H322" s="229" t="s">
        <v>64</v>
      </c>
      <c r="I322" s="225" t="s">
        <v>222</v>
      </c>
      <c r="J322" s="225" t="s">
        <v>327</v>
      </c>
      <c r="K322" s="230">
        <v>3243.6</v>
      </c>
      <c r="L322" s="228">
        <v>44306</v>
      </c>
      <c r="M322" s="229" t="s">
        <v>44</v>
      </c>
      <c r="N322" s="229"/>
      <c r="O322" s="228"/>
      <c r="P322" s="228">
        <v>44306</v>
      </c>
      <c r="Q32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44306</v>
      </c>
      <c r="S32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3243.6</v>
      </c>
      <c r="U322" s="235">
        <f ca="1">IF(OR(Tabela_Movimentacao[[#This Row],[Status]]="Em Aberto",Tabela_Movimentacao[[#This Row],[Status]]="Prorrogado"),Tabela_Movimentacao[[#This Row],[Valor]],0)</f>
        <v>0</v>
      </c>
      <c r="V322" s="220">
        <f ca="1">IF(Tabela_Movimentacao[[#This Row],[Status]]="Cancelado","",IF(Tabela_Movimentacao[[#This Row],[Status]]&lt;&gt;"Pago","",Tabela_Movimentacao[[#This Row],[Valor]]))</f>
        <v>3243.6</v>
      </c>
    </row>
    <row r="323" spans="1:22" ht="35.5" hidden="1" customHeight="1" x14ac:dyDescent="0.35">
      <c r="A323" s="222" t="str">
        <f t="shared" si="50"/>
        <v>E313</v>
      </c>
      <c r="B323" s="223" t="str">
        <f t="shared" si="36"/>
        <v>FILE</v>
      </c>
      <c r="C323" s="224" t="s">
        <v>56</v>
      </c>
      <c r="D323" s="224" t="s">
        <v>49</v>
      </c>
      <c r="E323" s="237" t="s">
        <v>48</v>
      </c>
      <c r="F323" s="227" t="s">
        <v>480</v>
      </c>
      <c r="G323" s="228">
        <v>44306</v>
      </c>
      <c r="H323" s="229" t="s">
        <v>64</v>
      </c>
      <c r="I323" s="225" t="s">
        <v>481</v>
      </c>
      <c r="J323" s="225" t="s">
        <v>327</v>
      </c>
      <c r="K323" s="230">
        <v>3243.6</v>
      </c>
      <c r="L323" s="228">
        <v>44306</v>
      </c>
      <c r="M323" s="229" t="s">
        <v>44</v>
      </c>
      <c r="N323" s="229"/>
      <c r="O323" s="228"/>
      <c r="P323" s="228">
        <v>44306</v>
      </c>
      <c r="Q32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44306</v>
      </c>
      <c r="S32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-3243.6</v>
      </c>
      <c r="U323" s="235">
        <f ca="1">IF(OR(Tabela_Movimentacao[[#This Row],[Status]]="Em Aberto",Tabela_Movimentacao[[#This Row],[Status]]="Prorrogado"),Tabela_Movimentacao[[#This Row],[Valor]],0)</f>
        <v>0</v>
      </c>
      <c r="V323" s="220">
        <f ca="1">IF(Tabela_Movimentacao[[#This Row],[Status]]="Cancelado","",IF(Tabela_Movimentacao[[#This Row],[Status]]&lt;&gt;"Pago","",Tabela_Movimentacao[[#This Row],[Valor]]))</f>
        <v>3243.6</v>
      </c>
    </row>
    <row r="324" spans="1:22" ht="35.5" hidden="1" customHeight="1" x14ac:dyDescent="0.35">
      <c r="A324" s="222" t="str">
        <f t="shared" si="50"/>
        <v>E314</v>
      </c>
      <c r="B324" s="223" t="str">
        <f t="shared" si="36"/>
        <v>FILE</v>
      </c>
      <c r="C324" s="224" t="s">
        <v>62</v>
      </c>
      <c r="D324" s="224" t="s">
        <v>104</v>
      </c>
      <c r="E324" s="237" t="s">
        <v>59</v>
      </c>
      <c r="F324" s="227" t="s">
        <v>483</v>
      </c>
      <c r="G324" s="228">
        <v>44316</v>
      </c>
      <c r="H324" s="229" t="s">
        <v>64</v>
      </c>
      <c r="I324" s="225" t="s">
        <v>222</v>
      </c>
      <c r="J324" s="225" t="s">
        <v>327</v>
      </c>
      <c r="K324" s="230">
        <v>3138</v>
      </c>
      <c r="L324" s="228">
        <v>44316</v>
      </c>
      <c r="M324" s="229" t="s">
        <v>47</v>
      </c>
      <c r="N324" s="229"/>
      <c r="O324" s="228"/>
      <c r="P324" s="228">
        <v>44316</v>
      </c>
      <c r="Q324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4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44316</v>
      </c>
      <c r="S324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4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3138</v>
      </c>
      <c r="U324" s="235">
        <f ca="1">IF(OR(Tabela_Movimentacao[[#This Row],[Status]]="Em Aberto",Tabela_Movimentacao[[#This Row],[Status]]="Prorrogado"),Tabela_Movimentacao[[#This Row],[Valor]],0)</f>
        <v>0</v>
      </c>
      <c r="V324" s="220">
        <f ca="1">IF(Tabela_Movimentacao[[#This Row],[Status]]="Cancelado","",IF(Tabela_Movimentacao[[#This Row],[Status]]&lt;&gt;"Pago","",Tabela_Movimentacao[[#This Row],[Valor]]))</f>
        <v>3138</v>
      </c>
    </row>
    <row r="325" spans="1:22" ht="35.5" hidden="1" customHeight="1" x14ac:dyDescent="0.35">
      <c r="A325" s="222" t="str">
        <f t="shared" si="50"/>
        <v>E315</v>
      </c>
      <c r="B325" s="223" t="str">
        <f t="shared" si="36"/>
        <v>FILE</v>
      </c>
      <c r="C325" s="224" t="s">
        <v>56</v>
      </c>
      <c r="D325" s="224" t="s">
        <v>49</v>
      </c>
      <c r="E325" s="237" t="s">
        <v>50</v>
      </c>
      <c r="F325" s="227" t="s">
        <v>483</v>
      </c>
      <c r="G325" s="228">
        <v>44316</v>
      </c>
      <c r="H325" s="229" t="s">
        <v>64</v>
      </c>
      <c r="I325" s="225" t="s">
        <v>329</v>
      </c>
      <c r="J325" s="225" t="s">
        <v>327</v>
      </c>
      <c r="K325" s="230">
        <v>3138</v>
      </c>
      <c r="L325" s="228">
        <v>44316</v>
      </c>
      <c r="M325" s="229" t="s">
        <v>47</v>
      </c>
      <c r="N325" s="229"/>
      <c r="O325" s="228"/>
      <c r="P325" s="228">
        <v>44316</v>
      </c>
      <c r="Q325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5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44316</v>
      </c>
      <c r="S325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5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-3138</v>
      </c>
      <c r="U325" s="235">
        <f ca="1">IF(OR(Tabela_Movimentacao[[#This Row],[Status]]="Em Aberto",Tabela_Movimentacao[[#This Row],[Status]]="Prorrogado"),Tabela_Movimentacao[[#This Row],[Valor]],0)</f>
        <v>0</v>
      </c>
      <c r="V325" s="220">
        <f ca="1">IF(Tabela_Movimentacao[[#This Row],[Status]]="Cancelado","",IF(Tabela_Movimentacao[[#This Row],[Status]]&lt;&gt;"Pago","",Tabela_Movimentacao[[#This Row],[Valor]]))</f>
        <v>3138</v>
      </c>
    </row>
    <row r="326" spans="1:22" ht="35.5" hidden="1" customHeight="1" x14ac:dyDescent="0.35">
      <c r="A326" s="222" t="str">
        <f t="shared" si="50"/>
        <v>E316</v>
      </c>
      <c r="B326" s="223" t="str">
        <f t="shared" si="36"/>
        <v>FILE</v>
      </c>
      <c r="C326" s="224" t="s">
        <v>62</v>
      </c>
      <c r="D326" s="224" t="s">
        <v>104</v>
      </c>
      <c r="E326" s="237" t="s">
        <v>59</v>
      </c>
      <c r="F326" s="227" t="s">
        <v>474</v>
      </c>
      <c r="G326" s="228">
        <v>44306</v>
      </c>
      <c r="H326" s="229" t="s">
        <v>65</v>
      </c>
      <c r="I326" s="225" t="s">
        <v>222</v>
      </c>
      <c r="J326" s="225" t="s">
        <v>327</v>
      </c>
      <c r="K326" s="230">
        <v>2693.78</v>
      </c>
      <c r="L326" s="228">
        <v>44306</v>
      </c>
      <c r="M326" s="229" t="s">
        <v>47</v>
      </c>
      <c r="N326" s="229"/>
      <c r="O326" s="228"/>
      <c r="P326" s="228">
        <v>44306</v>
      </c>
      <c r="Q326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6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44306</v>
      </c>
      <c r="S326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6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2693.78</v>
      </c>
      <c r="U326" s="235">
        <f ca="1">IF(OR(Tabela_Movimentacao[[#This Row],[Status]]="Em Aberto",Tabela_Movimentacao[[#This Row],[Status]]="Prorrogado"),Tabela_Movimentacao[[#This Row],[Valor]],0)</f>
        <v>0</v>
      </c>
      <c r="V326" s="220">
        <f ca="1">IF(Tabela_Movimentacao[[#This Row],[Status]]="Cancelado","",IF(Tabela_Movimentacao[[#This Row],[Status]]&lt;&gt;"Pago","",Tabela_Movimentacao[[#This Row],[Valor]]))</f>
        <v>2693.78</v>
      </c>
    </row>
    <row r="327" spans="1:22" ht="35.5" hidden="1" customHeight="1" x14ac:dyDescent="0.35">
      <c r="A327" s="222" t="str">
        <f t="shared" si="50"/>
        <v>E317</v>
      </c>
      <c r="B327" s="223" t="str">
        <f t="shared" si="36"/>
        <v>FILE</v>
      </c>
      <c r="C327" s="224" t="s">
        <v>56</v>
      </c>
      <c r="D327" s="224" t="s">
        <v>49</v>
      </c>
      <c r="E327" s="237" t="s">
        <v>50</v>
      </c>
      <c r="F327" s="227" t="s">
        <v>474</v>
      </c>
      <c r="G327" s="228">
        <v>44306</v>
      </c>
      <c r="H327" s="229" t="s">
        <v>65</v>
      </c>
      <c r="I327" s="225" t="s">
        <v>329</v>
      </c>
      <c r="J327" s="225" t="s">
        <v>327</v>
      </c>
      <c r="K327" s="230">
        <v>2693.78</v>
      </c>
      <c r="L327" s="228">
        <v>44306</v>
      </c>
      <c r="M327" s="229" t="s">
        <v>47</v>
      </c>
      <c r="N327" s="229"/>
      <c r="O327" s="228"/>
      <c r="P327" s="228">
        <v>44306</v>
      </c>
      <c r="Q327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7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44306</v>
      </c>
      <c r="S327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27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-2693.78</v>
      </c>
      <c r="U327" s="235">
        <f ca="1">IF(OR(Tabela_Movimentacao[[#This Row],[Status]]="Em Aberto",Tabela_Movimentacao[[#This Row],[Status]]="Prorrogado"),Tabela_Movimentacao[[#This Row],[Valor]],0)</f>
        <v>0</v>
      </c>
      <c r="V327" s="220">
        <f ca="1">IF(Tabela_Movimentacao[[#This Row],[Status]]="Cancelado","",IF(Tabela_Movimentacao[[#This Row],[Status]]&lt;&gt;"Pago","",Tabela_Movimentacao[[#This Row],[Valor]]))</f>
        <v>2693.78</v>
      </c>
    </row>
    <row r="328" spans="1:22" ht="35.5" hidden="1" customHeight="1" x14ac:dyDescent="0.35">
      <c r="A328" s="222" t="str">
        <f t="shared" ref="A328:A329" si="51">"E"&amp;ROW()-10</f>
        <v>E318</v>
      </c>
      <c r="B328" s="223" t="str">
        <f t="shared" si="36"/>
        <v>FILE</v>
      </c>
      <c r="C328" s="224" t="s">
        <v>62</v>
      </c>
      <c r="D328" s="224" t="s">
        <v>104</v>
      </c>
      <c r="E328" s="237" t="s">
        <v>59</v>
      </c>
      <c r="F328" s="227" t="s">
        <v>483</v>
      </c>
      <c r="G328" s="228">
        <v>44317</v>
      </c>
      <c r="H328" s="229" t="s">
        <v>65</v>
      </c>
      <c r="I328" s="225" t="s">
        <v>222</v>
      </c>
      <c r="J328" s="225" t="s">
        <v>327</v>
      </c>
      <c r="K328" s="230">
        <v>1569</v>
      </c>
      <c r="L328" s="228">
        <v>44317</v>
      </c>
      <c r="M328" s="229" t="s">
        <v>47</v>
      </c>
      <c r="N328" s="229"/>
      <c r="O328" s="228"/>
      <c r="P328" s="228">
        <v>44317</v>
      </c>
      <c r="Q328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8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44319</v>
      </c>
      <c r="S328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28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1569</v>
      </c>
      <c r="U328" s="235">
        <f ca="1">IF(OR(Tabela_Movimentacao[[#This Row],[Status]]="Em Aberto",Tabela_Movimentacao[[#This Row],[Status]]="Prorrogado"),Tabela_Movimentacao[[#This Row],[Valor]],0)</f>
        <v>0</v>
      </c>
      <c r="V328" s="219">
        <f ca="1">IF(Tabela_Movimentacao[[#This Row],[Status]]="Cancelado","",IF(Tabela_Movimentacao[[#This Row],[Status]]&lt;&gt;"Pago","",Tabela_Movimentacao[[#This Row],[Valor]]))</f>
        <v>1569</v>
      </c>
    </row>
    <row r="329" spans="1:22" ht="35.5" hidden="1" customHeight="1" x14ac:dyDescent="0.35">
      <c r="A329" s="222" t="str">
        <f t="shared" si="51"/>
        <v>E319</v>
      </c>
      <c r="B329" s="223" t="str">
        <f t="shared" si="36"/>
        <v>FILE</v>
      </c>
      <c r="C329" s="224" t="s">
        <v>56</v>
      </c>
      <c r="D329" s="224" t="s">
        <v>49</v>
      </c>
      <c r="E329" s="237" t="s">
        <v>50</v>
      </c>
      <c r="F329" s="227" t="s">
        <v>483</v>
      </c>
      <c r="G329" s="228">
        <v>44317</v>
      </c>
      <c r="H329" s="229" t="s">
        <v>65</v>
      </c>
      <c r="I329" s="225" t="s">
        <v>329</v>
      </c>
      <c r="J329" s="225" t="s">
        <v>327</v>
      </c>
      <c r="K329" s="230">
        <v>1569</v>
      </c>
      <c r="L329" s="228">
        <v>44317</v>
      </c>
      <c r="M329" s="229" t="s">
        <v>47</v>
      </c>
      <c r="N329" s="229"/>
      <c r="O329" s="228"/>
      <c r="P329" s="228">
        <v>44317</v>
      </c>
      <c r="Q329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29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44319</v>
      </c>
      <c r="S329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29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-1569</v>
      </c>
      <c r="U329" s="235">
        <f ca="1">IF(OR(Tabela_Movimentacao[[#This Row],[Status]]="Em Aberto",Tabela_Movimentacao[[#This Row],[Status]]="Prorrogado"),Tabela_Movimentacao[[#This Row],[Valor]],0)</f>
        <v>0</v>
      </c>
      <c r="V329" s="220">
        <f ca="1">IF(Tabela_Movimentacao[[#This Row],[Status]]="Cancelado","",IF(Tabela_Movimentacao[[#This Row],[Status]]&lt;&gt;"Pago","",Tabela_Movimentacao[[#This Row],[Valor]]))</f>
        <v>1569</v>
      </c>
    </row>
    <row r="330" spans="1:22" ht="35.5" hidden="1" customHeight="1" x14ac:dyDescent="0.35">
      <c r="A330" s="222" t="str">
        <f>"E"&amp;ROW()-10</f>
        <v>E320</v>
      </c>
      <c r="B330" s="223" t="str">
        <f t="shared" si="36"/>
        <v>FILE</v>
      </c>
      <c r="C330" s="224" t="s">
        <v>62</v>
      </c>
      <c r="D330" s="224" t="s">
        <v>104</v>
      </c>
      <c r="E330" s="237" t="s">
        <v>59</v>
      </c>
      <c r="F330" s="227" t="s">
        <v>474</v>
      </c>
      <c r="G330" s="228">
        <v>44308</v>
      </c>
      <c r="H330" s="229" t="s">
        <v>63</v>
      </c>
      <c r="I330" s="225" t="s">
        <v>222</v>
      </c>
      <c r="J330" s="225" t="s">
        <v>327</v>
      </c>
      <c r="K330" s="230">
        <v>2693.78</v>
      </c>
      <c r="L330" s="228">
        <v>44338</v>
      </c>
      <c r="M330" s="229" t="s">
        <v>47</v>
      </c>
      <c r="N330" s="229"/>
      <c r="O330" s="228"/>
      <c r="P330" s="228">
        <v>44308</v>
      </c>
      <c r="Q330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0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44340</v>
      </c>
      <c r="S330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30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2693.78</v>
      </c>
      <c r="U330" s="235">
        <f ca="1">IF(OR(Tabela_Movimentacao[[#This Row],[Status]]="Em Aberto",Tabela_Movimentacao[[#This Row],[Status]]="Prorrogado"),Tabela_Movimentacao[[#This Row],[Valor]],0)</f>
        <v>0</v>
      </c>
      <c r="V330" s="220">
        <f ca="1">IF(Tabela_Movimentacao[[#This Row],[Status]]="Cancelado","",IF(Tabela_Movimentacao[[#This Row],[Status]]&lt;&gt;"Pago","",Tabela_Movimentacao[[#This Row],[Valor]]))</f>
        <v>2693.78</v>
      </c>
    </row>
    <row r="331" spans="1:22" ht="35.5" hidden="1" customHeight="1" x14ac:dyDescent="0.35">
      <c r="A331" s="222" t="str">
        <f>"E"&amp;ROW()-10</f>
        <v>E321</v>
      </c>
      <c r="B331" s="223" t="str">
        <f t="shared" si="36"/>
        <v>FILE</v>
      </c>
      <c r="C331" s="224" t="s">
        <v>56</v>
      </c>
      <c r="D331" s="224" t="s">
        <v>49</v>
      </c>
      <c r="E331" s="237" t="s">
        <v>50</v>
      </c>
      <c r="F331" s="227" t="s">
        <v>474</v>
      </c>
      <c r="G331" s="228">
        <v>44308</v>
      </c>
      <c r="H331" s="229" t="s">
        <v>63</v>
      </c>
      <c r="I331" s="225" t="s">
        <v>329</v>
      </c>
      <c r="J331" s="225" t="s">
        <v>327</v>
      </c>
      <c r="K331" s="230">
        <v>2693.78</v>
      </c>
      <c r="L331" s="228">
        <v>44338</v>
      </c>
      <c r="M331" s="229" t="s">
        <v>47</v>
      </c>
      <c r="N331" s="229"/>
      <c r="O331" s="228"/>
      <c r="P331" s="228">
        <v>44308</v>
      </c>
      <c r="Q33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44340</v>
      </c>
      <c r="S33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44287</v>
      </c>
      <c r="T33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-2693.78</v>
      </c>
      <c r="U331" s="235">
        <f ca="1">IF(OR(Tabela_Movimentacao[[#This Row],[Status]]="Em Aberto",Tabela_Movimentacao[[#This Row],[Status]]="Prorrogado"),Tabela_Movimentacao[[#This Row],[Valor]],0)</f>
        <v>0</v>
      </c>
      <c r="V331" s="220">
        <f ca="1">IF(Tabela_Movimentacao[[#This Row],[Status]]="Cancelado","",IF(Tabela_Movimentacao[[#This Row],[Status]]&lt;&gt;"Pago","",Tabela_Movimentacao[[#This Row],[Valor]]))</f>
        <v>2693.78</v>
      </c>
    </row>
    <row r="332" spans="1:22" ht="35.5" hidden="1" customHeight="1" x14ac:dyDescent="0.35">
      <c r="A332" s="222" t="str">
        <f t="shared" ref="A332:A333" si="52">"E"&amp;ROW()-10</f>
        <v>E322</v>
      </c>
      <c r="B332" s="223" t="str">
        <f t="shared" ref="B332:B333" si="53">"FILE"</f>
        <v>FILE</v>
      </c>
      <c r="C332" s="224" t="s">
        <v>62</v>
      </c>
      <c r="D332" s="224" t="s">
        <v>104</v>
      </c>
      <c r="E332" s="237" t="s">
        <v>59</v>
      </c>
      <c r="F332" s="227" t="s">
        <v>483</v>
      </c>
      <c r="G332" s="228">
        <v>44317</v>
      </c>
      <c r="H332" s="229" t="s">
        <v>63</v>
      </c>
      <c r="I332" s="225" t="s">
        <v>222</v>
      </c>
      <c r="J332" s="225" t="s">
        <v>327</v>
      </c>
      <c r="K332" s="230">
        <v>1569</v>
      </c>
      <c r="L332" s="228">
        <v>44319</v>
      </c>
      <c r="M332" s="229" t="s">
        <v>47</v>
      </c>
      <c r="N332" s="229"/>
      <c r="O332" s="228"/>
      <c r="P332" s="228">
        <v>44319</v>
      </c>
      <c r="Q332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2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44319</v>
      </c>
      <c r="S332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2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1569</v>
      </c>
      <c r="U332" s="235">
        <f ca="1">IF(OR(Tabela_Movimentacao[[#This Row],[Status]]="Em Aberto",Tabela_Movimentacao[[#This Row],[Status]]="Prorrogado"),Tabela_Movimentacao[[#This Row],[Valor]],0)</f>
        <v>0</v>
      </c>
      <c r="V332" s="219">
        <f ca="1">IF(Tabela_Movimentacao[[#This Row],[Status]]="Cancelado","",IF(Tabela_Movimentacao[[#This Row],[Status]]&lt;&gt;"Pago","",Tabela_Movimentacao[[#This Row],[Valor]]))</f>
        <v>1569</v>
      </c>
    </row>
    <row r="333" spans="1:22" ht="35.5" hidden="1" customHeight="1" x14ac:dyDescent="0.35">
      <c r="A333" s="222" t="str">
        <f t="shared" si="52"/>
        <v>E323</v>
      </c>
      <c r="B333" s="223" t="str">
        <f t="shared" si="53"/>
        <v>FILE</v>
      </c>
      <c r="C333" s="224" t="s">
        <v>56</v>
      </c>
      <c r="D333" s="224" t="s">
        <v>49</v>
      </c>
      <c r="E333" s="237" t="s">
        <v>50</v>
      </c>
      <c r="F333" s="227" t="s">
        <v>483</v>
      </c>
      <c r="G333" s="228">
        <v>44317</v>
      </c>
      <c r="H333" s="229" t="s">
        <v>63</v>
      </c>
      <c r="I333" s="225" t="s">
        <v>329</v>
      </c>
      <c r="J333" s="225" t="s">
        <v>327</v>
      </c>
      <c r="K333" s="230">
        <v>1569</v>
      </c>
      <c r="L333" s="228">
        <v>44319</v>
      </c>
      <c r="M333" s="229" t="s">
        <v>47</v>
      </c>
      <c r="N333" s="229"/>
      <c r="O333" s="228"/>
      <c r="P333" s="228">
        <v>44319</v>
      </c>
      <c r="Q333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3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44319</v>
      </c>
      <c r="S333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3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-1569</v>
      </c>
      <c r="U333" s="235">
        <f ca="1">IF(OR(Tabela_Movimentacao[[#This Row],[Status]]="Em Aberto",Tabela_Movimentacao[[#This Row],[Status]]="Prorrogado"),Tabela_Movimentacao[[#This Row],[Valor]],0)</f>
        <v>0</v>
      </c>
      <c r="V333" s="220">
        <f ca="1">IF(Tabela_Movimentacao[[#This Row],[Status]]="Cancelado","",IF(Tabela_Movimentacao[[#This Row],[Status]]&lt;&gt;"Pago","",Tabela_Movimentacao[[#This Row],[Valor]]))</f>
        <v>1569</v>
      </c>
    </row>
    <row r="334" spans="1:22" ht="35.5" hidden="1" customHeight="1" x14ac:dyDescent="0.35">
      <c r="A334" s="239" t="str">
        <f t="shared" ref="A334:A355" si="54">"E"&amp;ROW()-10</f>
        <v>E324</v>
      </c>
      <c r="B334" s="255" t="str">
        <f t="shared" ref="B334:B355" si="55">"FILE"</f>
        <v>FILE</v>
      </c>
      <c r="C334" s="224" t="s">
        <v>62</v>
      </c>
      <c r="D334" s="224" t="s">
        <v>104</v>
      </c>
      <c r="E334" s="237" t="s">
        <v>59</v>
      </c>
      <c r="F334" s="240" t="s">
        <v>506</v>
      </c>
      <c r="G334" s="241">
        <v>44326</v>
      </c>
      <c r="H334" s="242" t="s">
        <v>64</v>
      </c>
      <c r="I334" s="225" t="s">
        <v>222</v>
      </c>
      <c r="J334" s="225" t="s">
        <v>327</v>
      </c>
      <c r="K334" s="243">
        <v>10000</v>
      </c>
      <c r="L334" s="241">
        <v>44329</v>
      </c>
      <c r="M334" s="229" t="s">
        <v>47</v>
      </c>
      <c r="N334" s="242"/>
      <c r="O334" s="241"/>
      <c r="P334" s="241">
        <v>44329</v>
      </c>
      <c r="Q334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4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44329</v>
      </c>
      <c r="S334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4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10000</v>
      </c>
      <c r="U334" s="248">
        <f ca="1">IF(OR(Tabela_Movimentacao[[#This Row],[Status]]="Em Aberto",Tabela_Movimentacao[[#This Row],[Status]]="Prorrogado"),Tabela_Movimentacao[[#This Row],[Valor]],0)</f>
        <v>0</v>
      </c>
      <c r="V334" s="197">
        <f ca="1">IF(Tabela_Movimentacao[[#This Row],[Status]]="Cancelado","",IF(Tabela_Movimentacao[[#This Row],[Status]]&lt;&gt;"Pago","",Tabela_Movimentacao[[#This Row],[Valor]]))</f>
        <v>10000</v>
      </c>
    </row>
    <row r="335" spans="1:22" ht="35.5" hidden="1" customHeight="1" x14ac:dyDescent="0.35">
      <c r="A335" s="239" t="str">
        <f t="shared" si="54"/>
        <v>E325</v>
      </c>
      <c r="B335" s="255" t="str">
        <f t="shared" si="55"/>
        <v>FILE</v>
      </c>
      <c r="C335" s="224" t="s">
        <v>56</v>
      </c>
      <c r="D335" s="224" t="s">
        <v>49</v>
      </c>
      <c r="E335" s="237" t="s">
        <v>50</v>
      </c>
      <c r="F335" s="240" t="s">
        <v>506</v>
      </c>
      <c r="G335" s="241">
        <v>44326</v>
      </c>
      <c r="H335" s="242" t="s">
        <v>64</v>
      </c>
      <c r="I335" s="225" t="s">
        <v>329</v>
      </c>
      <c r="J335" s="225" t="s">
        <v>327</v>
      </c>
      <c r="K335" s="243">
        <v>10000</v>
      </c>
      <c r="L335" s="241">
        <v>44329</v>
      </c>
      <c r="M335" s="229" t="s">
        <v>47</v>
      </c>
      <c r="N335" s="242"/>
      <c r="O335" s="241"/>
      <c r="P335" s="241">
        <v>44329</v>
      </c>
      <c r="Q335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5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44329</v>
      </c>
      <c r="S335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5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-10000</v>
      </c>
      <c r="U335" s="248">
        <f ca="1">IF(OR(Tabela_Movimentacao[[#This Row],[Status]]="Em Aberto",Tabela_Movimentacao[[#This Row],[Status]]="Prorrogado"),Tabela_Movimentacao[[#This Row],[Valor]],0)</f>
        <v>0</v>
      </c>
      <c r="V335" s="197">
        <f ca="1">IF(Tabela_Movimentacao[[#This Row],[Status]]="Cancelado","",IF(Tabela_Movimentacao[[#This Row],[Status]]&lt;&gt;"Pago","",Tabela_Movimentacao[[#This Row],[Valor]]))</f>
        <v>10000</v>
      </c>
    </row>
    <row r="336" spans="1:22" ht="35.5" hidden="1" customHeight="1" x14ac:dyDescent="0.35">
      <c r="A336" s="239" t="str">
        <f t="shared" si="54"/>
        <v>E326</v>
      </c>
      <c r="B336" s="255" t="str">
        <f t="shared" si="55"/>
        <v>FILE</v>
      </c>
      <c r="C336" s="257" t="s">
        <v>62</v>
      </c>
      <c r="D336" s="257" t="s">
        <v>104</v>
      </c>
      <c r="E336" s="258" t="s">
        <v>59</v>
      </c>
      <c r="F336" s="240" t="s">
        <v>524</v>
      </c>
      <c r="G336" s="241">
        <v>44326</v>
      </c>
      <c r="H336" s="242" t="s">
        <v>64</v>
      </c>
      <c r="I336" s="225" t="s">
        <v>222</v>
      </c>
      <c r="J336" s="225" t="s">
        <v>327</v>
      </c>
      <c r="K336" s="230">
        <v>976.03</v>
      </c>
      <c r="L336" s="241">
        <v>44326</v>
      </c>
      <c r="M336" s="242" t="s">
        <v>105</v>
      </c>
      <c r="N336" s="242"/>
      <c r="O336" s="241"/>
      <c r="P336" s="241">
        <v>44326</v>
      </c>
      <c r="Q336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6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44326</v>
      </c>
      <c r="S336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6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976.03</v>
      </c>
      <c r="U336" s="248">
        <f ca="1">IF(OR(Tabela_Movimentacao[[#This Row],[Status]]="Em Aberto",Tabela_Movimentacao[[#This Row],[Status]]="Prorrogado"),Tabela_Movimentacao[[#This Row],[Valor]],0)</f>
        <v>0</v>
      </c>
      <c r="V336" s="197">
        <f ca="1">IF(Tabela_Movimentacao[[#This Row],[Status]]="Cancelado","",IF(Tabela_Movimentacao[[#This Row],[Status]]&lt;&gt;"Pago","",Tabela_Movimentacao[[#This Row],[Valor]]))</f>
        <v>976.03</v>
      </c>
    </row>
    <row r="337" spans="1:22" ht="35.5" hidden="1" customHeight="1" x14ac:dyDescent="0.35">
      <c r="A337" s="239" t="str">
        <f t="shared" si="54"/>
        <v>E327</v>
      </c>
      <c r="B337" s="255" t="str">
        <f t="shared" si="55"/>
        <v>FILE</v>
      </c>
      <c r="C337" s="257" t="s">
        <v>56</v>
      </c>
      <c r="D337" s="257" t="s">
        <v>13</v>
      </c>
      <c r="E337" s="258" t="s">
        <v>16</v>
      </c>
      <c r="F337" s="240" t="s">
        <v>524</v>
      </c>
      <c r="G337" s="241">
        <v>44326</v>
      </c>
      <c r="H337" s="242" t="s">
        <v>64</v>
      </c>
      <c r="I337" s="259" t="s">
        <v>173</v>
      </c>
      <c r="J337" s="225" t="s">
        <v>327</v>
      </c>
      <c r="K337" s="230">
        <v>976.03</v>
      </c>
      <c r="L337" s="241">
        <v>44326</v>
      </c>
      <c r="M337" s="242" t="s">
        <v>105</v>
      </c>
      <c r="N337" s="242"/>
      <c r="O337" s="241"/>
      <c r="P337" s="241">
        <v>44326</v>
      </c>
      <c r="Q337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7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44326</v>
      </c>
      <c r="S337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7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-976.03</v>
      </c>
      <c r="U337" s="248">
        <f ca="1">IF(OR(Tabela_Movimentacao[[#This Row],[Status]]="Em Aberto",Tabela_Movimentacao[[#This Row],[Status]]="Prorrogado"),Tabela_Movimentacao[[#This Row],[Valor]],0)</f>
        <v>0</v>
      </c>
      <c r="V337" s="197">
        <f ca="1">IF(Tabela_Movimentacao[[#This Row],[Status]]="Cancelado","",IF(Tabela_Movimentacao[[#This Row],[Status]]&lt;&gt;"Pago","",Tabela_Movimentacao[[#This Row],[Valor]]))</f>
        <v>976.03</v>
      </c>
    </row>
    <row r="338" spans="1:22" ht="35.5" hidden="1" customHeight="1" x14ac:dyDescent="0.35">
      <c r="A338" s="239" t="str">
        <f t="shared" si="54"/>
        <v>E328</v>
      </c>
      <c r="B338" s="255" t="str">
        <f t="shared" si="55"/>
        <v>FILE</v>
      </c>
      <c r="C338" s="224" t="s">
        <v>62</v>
      </c>
      <c r="D338" s="224" t="s">
        <v>104</v>
      </c>
      <c r="E338" s="258" t="s">
        <v>59</v>
      </c>
      <c r="F338" s="240" t="s">
        <v>525</v>
      </c>
      <c r="G338" s="241">
        <v>44322</v>
      </c>
      <c r="H338" s="229" t="s">
        <v>65</v>
      </c>
      <c r="I338" s="225" t="s">
        <v>222</v>
      </c>
      <c r="J338" s="225" t="s">
        <v>327</v>
      </c>
      <c r="K338" s="243">
        <v>867</v>
      </c>
      <c r="L338" s="241">
        <v>44322</v>
      </c>
      <c r="M338" s="242" t="s">
        <v>44</v>
      </c>
      <c r="N338" s="242"/>
      <c r="O338" s="241"/>
      <c r="P338" s="241">
        <v>44322</v>
      </c>
      <c r="Q338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8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44322</v>
      </c>
      <c r="S338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8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867</v>
      </c>
      <c r="U338" s="248">
        <f ca="1">IF(OR(Tabela_Movimentacao[[#This Row],[Status]]="Em Aberto",Tabela_Movimentacao[[#This Row],[Status]]="Prorrogado"),Tabela_Movimentacao[[#This Row],[Valor]],0)</f>
        <v>0</v>
      </c>
      <c r="V338" s="197">
        <f ca="1">IF(Tabela_Movimentacao[[#This Row],[Status]]="Cancelado","",IF(Tabela_Movimentacao[[#This Row],[Status]]&lt;&gt;"Pago","",Tabela_Movimentacao[[#This Row],[Valor]]))</f>
        <v>867</v>
      </c>
    </row>
    <row r="339" spans="1:22" ht="35.5" hidden="1" customHeight="1" x14ac:dyDescent="0.35">
      <c r="A339" s="239" t="str">
        <f t="shared" si="54"/>
        <v>E329</v>
      </c>
      <c r="B339" s="255" t="str">
        <f t="shared" si="55"/>
        <v>FILE</v>
      </c>
      <c r="C339" s="224" t="s">
        <v>56</v>
      </c>
      <c r="D339" s="224" t="s">
        <v>49</v>
      </c>
      <c r="E339" s="258" t="s">
        <v>48</v>
      </c>
      <c r="F339" s="240" t="s">
        <v>525</v>
      </c>
      <c r="G339" s="241">
        <v>44322</v>
      </c>
      <c r="H339" s="229" t="s">
        <v>65</v>
      </c>
      <c r="I339" s="259" t="s">
        <v>293</v>
      </c>
      <c r="J339" s="225" t="s">
        <v>327</v>
      </c>
      <c r="K339" s="243">
        <v>867</v>
      </c>
      <c r="L339" s="241">
        <v>44322</v>
      </c>
      <c r="M339" s="242" t="s">
        <v>44</v>
      </c>
      <c r="N339" s="242"/>
      <c r="O339" s="241"/>
      <c r="P339" s="241">
        <v>44322</v>
      </c>
      <c r="Q339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39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44322</v>
      </c>
      <c r="S339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39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-867</v>
      </c>
      <c r="U339" s="248">
        <f ca="1">IF(OR(Tabela_Movimentacao[[#This Row],[Status]]="Em Aberto",Tabela_Movimentacao[[#This Row],[Status]]="Prorrogado"),Tabela_Movimentacao[[#This Row],[Valor]],0)</f>
        <v>0</v>
      </c>
      <c r="V339" s="197">
        <f ca="1">IF(Tabela_Movimentacao[[#This Row],[Status]]="Cancelado","",IF(Tabela_Movimentacao[[#This Row],[Status]]&lt;&gt;"Pago","",Tabela_Movimentacao[[#This Row],[Valor]]))</f>
        <v>867</v>
      </c>
    </row>
    <row r="340" spans="1:22" ht="35.5" hidden="1" customHeight="1" x14ac:dyDescent="0.35">
      <c r="A340" s="239" t="str">
        <f t="shared" si="54"/>
        <v>E330</v>
      </c>
      <c r="B340" s="255" t="str">
        <f t="shared" si="55"/>
        <v>FILE</v>
      </c>
      <c r="C340" s="224" t="s">
        <v>62</v>
      </c>
      <c r="D340" s="257" t="s">
        <v>104</v>
      </c>
      <c r="E340" s="258" t="s">
        <v>59</v>
      </c>
      <c r="F340" s="227" t="s">
        <v>526</v>
      </c>
      <c r="G340" s="241">
        <v>44330</v>
      </c>
      <c r="H340" s="242" t="s">
        <v>64</v>
      </c>
      <c r="I340" s="259" t="s">
        <v>222</v>
      </c>
      <c r="J340" s="225" t="s">
        <v>327</v>
      </c>
      <c r="K340" s="243">
        <v>140.25</v>
      </c>
      <c r="L340" s="241">
        <v>44330</v>
      </c>
      <c r="M340" s="242" t="s">
        <v>105</v>
      </c>
      <c r="N340" s="242"/>
      <c r="O340" s="241"/>
      <c r="P340" s="241">
        <v>44330</v>
      </c>
      <c r="Q340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0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40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0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140.25</v>
      </c>
      <c r="U340" s="248">
        <f ca="1">IF(OR(Tabela_Movimentacao[[#This Row],[Status]]="Em Aberto",Tabela_Movimentacao[[#This Row],[Status]]="Prorrogado"),Tabela_Movimentacao[[#This Row],[Valor]],0)</f>
        <v>0</v>
      </c>
      <c r="V340" s="197">
        <f ca="1">IF(Tabela_Movimentacao[[#This Row],[Status]]="Cancelado","",IF(Tabela_Movimentacao[[#This Row],[Status]]&lt;&gt;"Pago","",Tabela_Movimentacao[[#This Row],[Valor]]))</f>
        <v>140.25</v>
      </c>
    </row>
    <row r="341" spans="1:22" ht="35.5" hidden="1" customHeight="1" x14ac:dyDescent="0.35">
      <c r="A341" s="222" t="str">
        <f t="shared" si="54"/>
        <v>E331</v>
      </c>
      <c r="B341" s="223" t="str">
        <f t="shared" si="55"/>
        <v>FILE</v>
      </c>
      <c r="C341" s="224" t="s">
        <v>56</v>
      </c>
      <c r="D341" s="224" t="s">
        <v>34</v>
      </c>
      <c r="E341" s="237" t="s">
        <v>15</v>
      </c>
      <c r="F341" s="227" t="s">
        <v>526</v>
      </c>
      <c r="G341" s="241">
        <v>44330</v>
      </c>
      <c r="H341" s="242" t="s">
        <v>64</v>
      </c>
      <c r="I341" s="225" t="s">
        <v>435</v>
      </c>
      <c r="J341" s="225" t="s">
        <v>327</v>
      </c>
      <c r="K341" s="243">
        <v>140.25</v>
      </c>
      <c r="L341" s="241">
        <v>44330</v>
      </c>
      <c r="M341" s="242" t="s">
        <v>105</v>
      </c>
      <c r="N341" s="229"/>
      <c r="O341" s="228"/>
      <c r="P341" s="241">
        <v>44330</v>
      </c>
      <c r="Q341" s="231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1" s="232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41" s="233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1" s="234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-140.25</v>
      </c>
      <c r="U341" s="235">
        <f ca="1">IF(OR(Tabela_Movimentacao[[#This Row],[Status]]="Em Aberto",Tabela_Movimentacao[[#This Row],[Status]]="Prorrogado"),Tabela_Movimentacao[[#This Row],[Valor]],0)</f>
        <v>0</v>
      </c>
      <c r="V341" s="256">
        <f ca="1">IF(Tabela_Movimentacao[[#This Row],[Status]]="Cancelado","",IF(Tabela_Movimentacao[[#This Row],[Status]]&lt;&gt;"Pago","",Tabela_Movimentacao[[#This Row],[Valor]]))</f>
        <v>140.25</v>
      </c>
    </row>
    <row r="342" spans="1:22" ht="35.5" hidden="1" customHeight="1" x14ac:dyDescent="0.35">
      <c r="A342" s="239" t="str">
        <f t="shared" si="54"/>
        <v>E332</v>
      </c>
      <c r="B342" s="255" t="str">
        <f t="shared" si="55"/>
        <v>FILE</v>
      </c>
      <c r="C342" s="257" t="s">
        <v>62</v>
      </c>
      <c r="D342" s="257" t="s">
        <v>104</v>
      </c>
      <c r="E342" s="258" t="s">
        <v>59</v>
      </c>
      <c r="F342" s="240" t="s">
        <v>529</v>
      </c>
      <c r="G342" s="241">
        <v>44330</v>
      </c>
      <c r="H342" s="242" t="s">
        <v>64</v>
      </c>
      <c r="I342" s="259" t="s">
        <v>222</v>
      </c>
      <c r="J342" s="225" t="s">
        <v>327</v>
      </c>
      <c r="K342" s="243">
        <v>1000</v>
      </c>
      <c r="L342" s="241">
        <v>44330</v>
      </c>
      <c r="M342" s="242" t="s">
        <v>47</v>
      </c>
      <c r="N342" s="242"/>
      <c r="O342" s="241"/>
      <c r="P342" s="241">
        <v>44330</v>
      </c>
      <c r="Q342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2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42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2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1000</v>
      </c>
      <c r="U342" s="248">
        <f ca="1">IF(OR(Tabela_Movimentacao[[#This Row],[Status]]="Em Aberto",Tabela_Movimentacao[[#This Row],[Status]]="Prorrogado"),Tabela_Movimentacao[[#This Row],[Valor]],0)</f>
        <v>0</v>
      </c>
      <c r="V342" s="197">
        <f ca="1">IF(Tabela_Movimentacao[[#This Row],[Status]]="Cancelado","",IF(Tabela_Movimentacao[[#This Row],[Status]]&lt;&gt;"Pago","",Tabela_Movimentacao[[#This Row],[Valor]]))</f>
        <v>1000</v>
      </c>
    </row>
    <row r="343" spans="1:22" ht="35.5" hidden="1" customHeight="1" x14ac:dyDescent="0.35">
      <c r="A343" s="239" t="str">
        <f t="shared" si="54"/>
        <v>E333</v>
      </c>
      <c r="B343" s="255" t="str">
        <f t="shared" si="55"/>
        <v>FILE</v>
      </c>
      <c r="C343" s="257" t="s">
        <v>56</v>
      </c>
      <c r="D343" s="257" t="s">
        <v>49</v>
      </c>
      <c r="E343" s="258" t="s">
        <v>48</v>
      </c>
      <c r="F343" s="240" t="s">
        <v>529</v>
      </c>
      <c r="G343" s="241">
        <v>44330</v>
      </c>
      <c r="H343" s="242" t="s">
        <v>64</v>
      </c>
      <c r="I343" s="259" t="s">
        <v>329</v>
      </c>
      <c r="J343" s="225" t="s">
        <v>327</v>
      </c>
      <c r="K343" s="243">
        <v>1000</v>
      </c>
      <c r="L343" s="241">
        <v>44330</v>
      </c>
      <c r="M343" s="242" t="s">
        <v>47</v>
      </c>
      <c r="N343" s="242"/>
      <c r="O343" s="241"/>
      <c r="P343" s="241">
        <v>44330</v>
      </c>
      <c r="Q343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3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43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3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-1000</v>
      </c>
      <c r="U343" s="248">
        <f ca="1">IF(OR(Tabela_Movimentacao[[#This Row],[Status]]="Em Aberto",Tabela_Movimentacao[[#This Row],[Status]]="Prorrogado"),Tabela_Movimentacao[[#This Row],[Valor]],0)</f>
        <v>0</v>
      </c>
      <c r="V343" s="197">
        <f ca="1">IF(Tabela_Movimentacao[[#This Row],[Status]]="Cancelado","",IF(Tabela_Movimentacao[[#This Row],[Status]]&lt;&gt;"Pago","",Tabela_Movimentacao[[#This Row],[Valor]]))</f>
        <v>1000</v>
      </c>
    </row>
    <row r="344" spans="1:22" ht="35.5" hidden="1" customHeight="1" x14ac:dyDescent="0.35">
      <c r="A344" s="239" t="str">
        <f t="shared" si="54"/>
        <v>E334</v>
      </c>
      <c r="B344" s="255" t="str">
        <f t="shared" si="55"/>
        <v>FILE</v>
      </c>
      <c r="C344" s="257" t="s">
        <v>62</v>
      </c>
      <c r="D344" s="257" t="s">
        <v>104</v>
      </c>
      <c r="E344" s="258" t="s">
        <v>59</v>
      </c>
      <c r="F344" s="240" t="s">
        <v>530</v>
      </c>
      <c r="G344" s="241">
        <v>44327</v>
      </c>
      <c r="H344" s="242" t="s">
        <v>65</v>
      </c>
      <c r="I344" s="259" t="s">
        <v>222</v>
      </c>
      <c r="J344" s="225" t="s">
        <v>327</v>
      </c>
      <c r="K344" s="243">
        <v>5750</v>
      </c>
      <c r="L344" s="241">
        <v>44327</v>
      </c>
      <c r="M344" s="242" t="s">
        <v>47</v>
      </c>
      <c r="N344" s="242"/>
      <c r="O344" s="241"/>
      <c r="P344" s="241">
        <v>44327</v>
      </c>
      <c r="Q344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4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44327</v>
      </c>
      <c r="S344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4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5750</v>
      </c>
      <c r="U344" s="248">
        <f ca="1">IF(OR(Tabela_Movimentacao[[#This Row],[Status]]="Em Aberto",Tabela_Movimentacao[[#This Row],[Status]]="Prorrogado"),Tabela_Movimentacao[[#This Row],[Valor]],0)</f>
        <v>0</v>
      </c>
      <c r="V344" s="197">
        <f ca="1">IF(Tabela_Movimentacao[[#This Row],[Status]]="Cancelado","",IF(Tabela_Movimentacao[[#This Row],[Status]]&lt;&gt;"Pago","",Tabela_Movimentacao[[#This Row],[Valor]]))</f>
        <v>5750</v>
      </c>
    </row>
    <row r="345" spans="1:22" ht="35.5" hidden="1" customHeight="1" x14ac:dyDescent="0.35">
      <c r="A345" s="239" t="str">
        <f t="shared" si="54"/>
        <v>E335</v>
      </c>
      <c r="B345" s="255" t="str">
        <f t="shared" si="55"/>
        <v>FILE</v>
      </c>
      <c r="C345" s="257" t="s">
        <v>56</v>
      </c>
      <c r="D345" s="257" t="s">
        <v>49</v>
      </c>
      <c r="E345" s="258" t="s">
        <v>48</v>
      </c>
      <c r="F345" s="240" t="s">
        <v>530</v>
      </c>
      <c r="G345" s="241">
        <v>44327</v>
      </c>
      <c r="H345" s="242" t="s">
        <v>65</v>
      </c>
      <c r="I345" s="259" t="s">
        <v>329</v>
      </c>
      <c r="J345" s="225" t="s">
        <v>327</v>
      </c>
      <c r="K345" s="243">
        <v>5750</v>
      </c>
      <c r="L345" s="241">
        <v>44327</v>
      </c>
      <c r="M345" s="242" t="s">
        <v>47</v>
      </c>
      <c r="N345" s="242"/>
      <c r="O345" s="241"/>
      <c r="P345" s="241">
        <v>44327</v>
      </c>
      <c r="Q345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5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44327</v>
      </c>
      <c r="S345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5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-5750</v>
      </c>
      <c r="U345" s="248">
        <f ca="1">IF(OR(Tabela_Movimentacao[[#This Row],[Status]]="Em Aberto",Tabela_Movimentacao[[#This Row],[Status]]="Prorrogado"),Tabela_Movimentacao[[#This Row],[Valor]],0)</f>
        <v>0</v>
      </c>
      <c r="V345" s="197">
        <f ca="1">IF(Tabela_Movimentacao[[#This Row],[Status]]="Cancelado","",IF(Tabela_Movimentacao[[#This Row],[Status]]&lt;&gt;"Pago","",Tabela_Movimentacao[[#This Row],[Valor]]))</f>
        <v>5750</v>
      </c>
    </row>
    <row r="346" spans="1:22" ht="35.5" hidden="1" customHeight="1" x14ac:dyDescent="0.35">
      <c r="A346" s="239" t="str">
        <f t="shared" si="54"/>
        <v>E336</v>
      </c>
      <c r="B346" s="255" t="str">
        <f t="shared" si="55"/>
        <v>FILE</v>
      </c>
      <c r="C346" s="257" t="s">
        <v>62</v>
      </c>
      <c r="D346" s="257" t="s">
        <v>104</v>
      </c>
      <c r="E346" s="258" t="s">
        <v>59</v>
      </c>
      <c r="F346" s="240" t="s">
        <v>531</v>
      </c>
      <c r="G346" s="241">
        <v>44327</v>
      </c>
      <c r="H346" s="242" t="s">
        <v>63</v>
      </c>
      <c r="I346" s="259" t="s">
        <v>222</v>
      </c>
      <c r="J346" s="225" t="s">
        <v>327</v>
      </c>
      <c r="K346" s="243">
        <v>6482.21</v>
      </c>
      <c r="L346" s="241">
        <v>44327</v>
      </c>
      <c r="M346" s="242" t="s">
        <v>47</v>
      </c>
      <c r="N346" s="242"/>
      <c r="O346" s="241"/>
      <c r="P346" s="241">
        <v>44327</v>
      </c>
      <c r="Q346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6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44327</v>
      </c>
      <c r="S346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6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6482.21</v>
      </c>
      <c r="U346" s="248">
        <f ca="1">IF(OR(Tabela_Movimentacao[[#This Row],[Status]]="Em Aberto",Tabela_Movimentacao[[#This Row],[Status]]="Prorrogado"),Tabela_Movimentacao[[#This Row],[Valor]],0)</f>
        <v>0</v>
      </c>
      <c r="V346" s="197">
        <f ca="1">IF(Tabela_Movimentacao[[#This Row],[Status]]="Cancelado","",IF(Tabela_Movimentacao[[#This Row],[Status]]&lt;&gt;"Pago","",Tabela_Movimentacao[[#This Row],[Valor]]))</f>
        <v>6482.21</v>
      </c>
    </row>
    <row r="347" spans="1:22" ht="35.5" hidden="1" customHeight="1" x14ac:dyDescent="0.35">
      <c r="A347" s="239" t="str">
        <f t="shared" si="54"/>
        <v>E337</v>
      </c>
      <c r="B347" s="255" t="str">
        <f t="shared" si="55"/>
        <v>FILE</v>
      </c>
      <c r="C347" s="257" t="s">
        <v>56</v>
      </c>
      <c r="D347" s="257" t="s">
        <v>49</v>
      </c>
      <c r="E347" s="258" t="s">
        <v>48</v>
      </c>
      <c r="F347" s="240" t="s">
        <v>535</v>
      </c>
      <c r="G347" s="241">
        <v>44327</v>
      </c>
      <c r="H347" s="242" t="s">
        <v>63</v>
      </c>
      <c r="I347" s="259" t="s">
        <v>329</v>
      </c>
      <c r="J347" s="225" t="s">
        <v>327</v>
      </c>
      <c r="K347" s="243">
        <v>732.21</v>
      </c>
      <c r="L347" s="241">
        <v>44327</v>
      </c>
      <c r="M347" s="242" t="s">
        <v>47</v>
      </c>
      <c r="N347" s="242"/>
      <c r="O347" s="241"/>
      <c r="P347" s="241">
        <v>44327</v>
      </c>
      <c r="Q347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7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44327</v>
      </c>
      <c r="S347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7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-732.21</v>
      </c>
      <c r="U347" s="248">
        <f ca="1">IF(OR(Tabela_Movimentacao[[#This Row],[Status]]="Em Aberto",Tabela_Movimentacao[[#This Row],[Status]]="Prorrogado"),Tabela_Movimentacao[[#This Row],[Valor]],0)</f>
        <v>0</v>
      </c>
      <c r="V347" s="197">
        <f ca="1">IF(Tabela_Movimentacao[[#This Row],[Status]]="Cancelado","",IF(Tabela_Movimentacao[[#This Row],[Status]]&lt;&gt;"Pago","",Tabela_Movimentacao[[#This Row],[Valor]]))</f>
        <v>732.21</v>
      </c>
    </row>
    <row r="348" spans="1:22" ht="35.5" hidden="1" customHeight="1" x14ac:dyDescent="0.35">
      <c r="A348" s="239" t="str">
        <f t="shared" si="54"/>
        <v>E338</v>
      </c>
      <c r="B348" s="255" t="str">
        <f t="shared" si="55"/>
        <v>FILE</v>
      </c>
      <c r="C348" s="257" t="s">
        <v>56</v>
      </c>
      <c r="D348" s="257" t="s">
        <v>49</v>
      </c>
      <c r="E348" s="258" t="s">
        <v>48</v>
      </c>
      <c r="F348" s="240" t="s">
        <v>530</v>
      </c>
      <c r="G348" s="241">
        <v>44327</v>
      </c>
      <c r="H348" s="242" t="s">
        <v>63</v>
      </c>
      <c r="I348" s="259" t="s">
        <v>329</v>
      </c>
      <c r="J348" s="225" t="s">
        <v>327</v>
      </c>
      <c r="K348" s="243">
        <v>5750</v>
      </c>
      <c r="L348" s="241">
        <v>44327</v>
      </c>
      <c r="M348" s="242" t="s">
        <v>47</v>
      </c>
      <c r="N348" s="242"/>
      <c r="O348" s="241"/>
      <c r="P348" s="241">
        <v>44327</v>
      </c>
      <c r="Q348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8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44327</v>
      </c>
      <c r="S348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8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-5750</v>
      </c>
      <c r="U348" s="248">
        <f ca="1">IF(OR(Tabela_Movimentacao[[#This Row],[Status]]="Em Aberto",Tabela_Movimentacao[[#This Row],[Status]]="Prorrogado"),Tabela_Movimentacao[[#This Row],[Valor]],0)</f>
        <v>0</v>
      </c>
      <c r="V348" s="197">
        <f ca="1">IF(Tabela_Movimentacao[[#This Row],[Status]]="Cancelado","",IF(Tabela_Movimentacao[[#This Row],[Status]]&lt;&gt;"Pago","",Tabela_Movimentacao[[#This Row],[Valor]]))</f>
        <v>5750</v>
      </c>
    </row>
    <row r="349" spans="1:22" ht="35.5" hidden="1" customHeight="1" x14ac:dyDescent="0.35">
      <c r="A349" s="239" t="str">
        <f t="shared" si="54"/>
        <v>E339</v>
      </c>
      <c r="B349" s="255" t="str">
        <f t="shared" si="55"/>
        <v>FILE</v>
      </c>
      <c r="C349" s="257" t="s">
        <v>62</v>
      </c>
      <c r="D349" s="257" t="s">
        <v>104</v>
      </c>
      <c r="E349" s="258" t="s">
        <v>59</v>
      </c>
      <c r="F349" s="240" t="s">
        <v>536</v>
      </c>
      <c r="G349" s="241">
        <v>44324</v>
      </c>
      <c r="H349" s="242" t="s">
        <v>64</v>
      </c>
      <c r="I349" s="259" t="s">
        <v>222</v>
      </c>
      <c r="J349" s="225" t="s">
        <v>327</v>
      </c>
      <c r="K349" s="243">
        <v>2054.6799999999998</v>
      </c>
      <c r="L349" s="241">
        <v>44324</v>
      </c>
      <c r="M349" s="242" t="s">
        <v>47</v>
      </c>
      <c r="N349" s="242"/>
      <c r="O349" s="241"/>
      <c r="P349" s="241">
        <v>44324</v>
      </c>
      <c r="Q349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49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44326</v>
      </c>
      <c r="S349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49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2054.6799999999998</v>
      </c>
      <c r="U349" s="248">
        <f ca="1">IF(OR(Tabela_Movimentacao[[#This Row],[Status]]="Em Aberto",Tabela_Movimentacao[[#This Row],[Status]]="Prorrogado"),Tabela_Movimentacao[[#This Row],[Valor]],0)</f>
        <v>0</v>
      </c>
      <c r="V349" s="197">
        <f ca="1">IF(Tabela_Movimentacao[[#This Row],[Status]]="Cancelado","",IF(Tabela_Movimentacao[[#This Row],[Status]]&lt;&gt;"Pago","",Tabela_Movimentacao[[#This Row],[Valor]]))</f>
        <v>2054.6799999999998</v>
      </c>
    </row>
    <row r="350" spans="1:22" ht="35.5" hidden="1" customHeight="1" x14ac:dyDescent="0.35">
      <c r="A350" s="239" t="str">
        <f t="shared" si="54"/>
        <v>E340</v>
      </c>
      <c r="B350" s="255" t="str">
        <f t="shared" si="55"/>
        <v>FILE</v>
      </c>
      <c r="C350" s="257" t="s">
        <v>56</v>
      </c>
      <c r="D350" s="257" t="s">
        <v>49</v>
      </c>
      <c r="E350" s="258" t="s">
        <v>50</v>
      </c>
      <c r="F350" s="240" t="s">
        <v>536</v>
      </c>
      <c r="G350" s="241">
        <v>44324</v>
      </c>
      <c r="H350" s="242" t="s">
        <v>64</v>
      </c>
      <c r="I350" s="259" t="s">
        <v>329</v>
      </c>
      <c r="J350" s="225" t="s">
        <v>327</v>
      </c>
      <c r="K350" s="243">
        <v>2054.6799999999998</v>
      </c>
      <c r="L350" s="241">
        <v>44324</v>
      </c>
      <c r="M350" s="242" t="s">
        <v>47</v>
      </c>
      <c r="N350" s="242"/>
      <c r="O350" s="241"/>
      <c r="P350" s="241">
        <v>44324</v>
      </c>
      <c r="Q350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0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44326</v>
      </c>
      <c r="S350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0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-2054.6799999999998</v>
      </c>
      <c r="U350" s="248">
        <f ca="1">IF(OR(Tabela_Movimentacao[[#This Row],[Status]]="Em Aberto",Tabela_Movimentacao[[#This Row],[Status]]="Prorrogado"),Tabela_Movimentacao[[#This Row],[Valor]],0)</f>
        <v>0</v>
      </c>
      <c r="V350" s="197">
        <f ca="1">IF(Tabela_Movimentacao[[#This Row],[Status]]="Cancelado","",IF(Tabela_Movimentacao[[#This Row],[Status]]&lt;&gt;"Pago","",Tabela_Movimentacao[[#This Row],[Valor]]))</f>
        <v>2054.6799999999998</v>
      </c>
    </row>
    <row r="351" spans="1:22" ht="35.5" hidden="1" customHeight="1" x14ac:dyDescent="0.35">
      <c r="A351" s="239" t="str">
        <f t="shared" si="54"/>
        <v>E341</v>
      </c>
      <c r="B351" s="255" t="str">
        <f t="shared" si="55"/>
        <v>FILE</v>
      </c>
      <c r="C351" s="257" t="s">
        <v>62</v>
      </c>
      <c r="D351" s="257" t="s">
        <v>104</v>
      </c>
      <c r="E351" s="258" t="s">
        <v>59</v>
      </c>
      <c r="F351" s="240" t="s">
        <v>540</v>
      </c>
      <c r="G351" s="241">
        <v>44330</v>
      </c>
      <c r="H351" s="242" t="s">
        <v>64</v>
      </c>
      <c r="I351" s="259" t="s">
        <v>222</v>
      </c>
      <c r="J351" s="225" t="s">
        <v>327</v>
      </c>
      <c r="K351" s="243">
        <v>2713.03</v>
      </c>
      <c r="L351" s="241">
        <v>44330</v>
      </c>
      <c r="M351" s="242" t="s">
        <v>47</v>
      </c>
      <c r="N351" s="242"/>
      <c r="O351" s="241"/>
      <c r="P351" s="241">
        <v>44330</v>
      </c>
      <c r="Q351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1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51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1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2713.03</v>
      </c>
      <c r="U351" s="248">
        <f ca="1">IF(OR(Tabela_Movimentacao[[#This Row],[Status]]="Em Aberto",Tabela_Movimentacao[[#This Row],[Status]]="Prorrogado"),Tabela_Movimentacao[[#This Row],[Valor]],0)</f>
        <v>0</v>
      </c>
      <c r="V351" s="197">
        <f ca="1">IF(Tabela_Movimentacao[[#This Row],[Status]]="Cancelado","",IF(Tabela_Movimentacao[[#This Row],[Status]]&lt;&gt;"Pago","",Tabela_Movimentacao[[#This Row],[Valor]]))</f>
        <v>2713.03</v>
      </c>
    </row>
    <row r="352" spans="1:22" ht="35.5" hidden="1" customHeight="1" x14ac:dyDescent="0.35">
      <c r="A352" s="239" t="str">
        <f t="shared" si="54"/>
        <v>E342</v>
      </c>
      <c r="B352" s="255" t="str">
        <f t="shared" si="55"/>
        <v>FILE</v>
      </c>
      <c r="C352" s="257" t="s">
        <v>56</v>
      </c>
      <c r="D352" s="257" t="s">
        <v>49</v>
      </c>
      <c r="E352" s="258" t="s">
        <v>50</v>
      </c>
      <c r="F352" s="240" t="s">
        <v>534</v>
      </c>
      <c r="G352" s="241">
        <v>44330</v>
      </c>
      <c r="H352" s="242" t="s">
        <v>64</v>
      </c>
      <c r="I352" s="259" t="s">
        <v>329</v>
      </c>
      <c r="J352" s="225" t="s">
        <v>327</v>
      </c>
      <c r="K352" s="243">
        <v>313.5</v>
      </c>
      <c r="L352" s="241">
        <v>44330</v>
      </c>
      <c r="M352" s="242" t="s">
        <v>47</v>
      </c>
      <c r="N352" s="242"/>
      <c r="O352" s="241"/>
      <c r="P352" s="241">
        <v>44330</v>
      </c>
      <c r="Q352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2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52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2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-313.5</v>
      </c>
      <c r="U352" s="248">
        <f ca="1">IF(OR(Tabela_Movimentacao[[#This Row],[Status]]="Em Aberto",Tabela_Movimentacao[[#This Row],[Status]]="Prorrogado"),Tabela_Movimentacao[[#This Row],[Valor]],0)</f>
        <v>0</v>
      </c>
      <c r="V352" s="197">
        <f ca="1">IF(Tabela_Movimentacao[[#This Row],[Status]]="Cancelado","",IF(Tabela_Movimentacao[[#This Row],[Status]]&lt;&gt;"Pago","",Tabela_Movimentacao[[#This Row],[Valor]]))</f>
        <v>313.5</v>
      </c>
    </row>
    <row r="353" spans="1:22" ht="35.5" hidden="1" customHeight="1" x14ac:dyDescent="0.35">
      <c r="A353" s="239" t="str">
        <f t="shared" si="54"/>
        <v>E343</v>
      </c>
      <c r="B353" s="255" t="str">
        <f t="shared" si="55"/>
        <v>FILE</v>
      </c>
      <c r="C353" s="257" t="s">
        <v>56</v>
      </c>
      <c r="D353" s="257" t="s">
        <v>49</v>
      </c>
      <c r="E353" s="258" t="s">
        <v>50</v>
      </c>
      <c r="F353" s="240" t="s">
        <v>537</v>
      </c>
      <c r="G353" s="241">
        <v>44330</v>
      </c>
      <c r="H353" s="242" t="s">
        <v>64</v>
      </c>
      <c r="I353" s="259" t="s">
        <v>329</v>
      </c>
      <c r="J353" s="225" t="s">
        <v>327</v>
      </c>
      <c r="K353" s="243">
        <v>198.74</v>
      </c>
      <c r="L353" s="241">
        <v>44330</v>
      </c>
      <c r="M353" s="242" t="s">
        <v>47</v>
      </c>
      <c r="N353" s="242"/>
      <c r="O353" s="241"/>
      <c r="P353" s="241">
        <v>44330</v>
      </c>
      <c r="Q353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3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53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3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-198.74</v>
      </c>
      <c r="U353" s="248">
        <f ca="1">IF(OR(Tabela_Movimentacao[[#This Row],[Status]]="Em Aberto",Tabela_Movimentacao[[#This Row],[Status]]="Prorrogado"),Tabela_Movimentacao[[#This Row],[Valor]],0)</f>
        <v>0</v>
      </c>
      <c r="V353" s="197">
        <f ca="1">IF(Tabela_Movimentacao[[#This Row],[Status]]="Cancelado","",IF(Tabela_Movimentacao[[#This Row],[Status]]&lt;&gt;"Pago","",Tabela_Movimentacao[[#This Row],[Valor]]))</f>
        <v>198.74</v>
      </c>
    </row>
    <row r="354" spans="1:22" ht="35.5" hidden="1" customHeight="1" x14ac:dyDescent="0.35">
      <c r="A354" s="239" t="str">
        <f t="shared" si="54"/>
        <v>E344</v>
      </c>
      <c r="B354" s="255" t="str">
        <f t="shared" si="55"/>
        <v>FILE</v>
      </c>
      <c r="C354" s="257" t="s">
        <v>56</v>
      </c>
      <c r="D354" s="257" t="s">
        <v>49</v>
      </c>
      <c r="E354" s="258" t="s">
        <v>50</v>
      </c>
      <c r="F354" s="240" t="s">
        <v>538</v>
      </c>
      <c r="G354" s="241">
        <v>44330</v>
      </c>
      <c r="H354" s="242" t="s">
        <v>64</v>
      </c>
      <c r="I354" s="259" t="s">
        <v>329</v>
      </c>
      <c r="J354" s="225" t="s">
        <v>327</v>
      </c>
      <c r="K354" s="243">
        <v>813.25</v>
      </c>
      <c r="L354" s="241">
        <v>44330</v>
      </c>
      <c r="M354" s="242" t="s">
        <v>47</v>
      </c>
      <c r="N354" s="242"/>
      <c r="O354" s="241"/>
      <c r="P354" s="241">
        <v>44330</v>
      </c>
      <c r="Q354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4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54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4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-813.25</v>
      </c>
      <c r="U354" s="248">
        <f ca="1">IF(OR(Tabela_Movimentacao[[#This Row],[Status]]="Em Aberto",Tabela_Movimentacao[[#This Row],[Status]]="Prorrogado"),Tabela_Movimentacao[[#This Row],[Valor]],0)</f>
        <v>0</v>
      </c>
      <c r="V354" s="197">
        <f ca="1">IF(Tabela_Movimentacao[[#This Row],[Status]]="Cancelado","",IF(Tabela_Movimentacao[[#This Row],[Status]]&lt;&gt;"Pago","",Tabela_Movimentacao[[#This Row],[Valor]]))</f>
        <v>813.25</v>
      </c>
    </row>
    <row r="355" spans="1:22" ht="35.5" hidden="1" customHeight="1" x14ac:dyDescent="0.35">
      <c r="A355" s="239" t="str">
        <f t="shared" si="54"/>
        <v>E345</v>
      </c>
      <c r="B355" s="255" t="str">
        <f t="shared" si="55"/>
        <v>FILE</v>
      </c>
      <c r="C355" s="257" t="s">
        <v>56</v>
      </c>
      <c r="D355" s="257" t="s">
        <v>49</v>
      </c>
      <c r="E355" s="258" t="s">
        <v>50</v>
      </c>
      <c r="F355" s="240" t="s">
        <v>539</v>
      </c>
      <c r="G355" s="241">
        <v>44330</v>
      </c>
      <c r="H355" s="242" t="s">
        <v>64</v>
      </c>
      <c r="I355" s="259" t="s">
        <v>329</v>
      </c>
      <c r="J355" s="225" t="s">
        <v>327</v>
      </c>
      <c r="K355" s="243">
        <v>1387.54</v>
      </c>
      <c r="L355" s="241">
        <v>44330</v>
      </c>
      <c r="M355" s="242" t="s">
        <v>47</v>
      </c>
      <c r="N355" s="242"/>
      <c r="O355" s="241"/>
      <c r="P355" s="241">
        <v>44330</v>
      </c>
      <c r="Q355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5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44330</v>
      </c>
      <c r="S355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55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-1387.54</v>
      </c>
      <c r="U355" s="248">
        <f ca="1">IF(OR(Tabela_Movimentacao[[#This Row],[Status]]="Em Aberto",Tabela_Movimentacao[[#This Row],[Status]]="Prorrogado"),Tabela_Movimentacao[[#This Row],[Valor]],0)</f>
        <v>0</v>
      </c>
      <c r="V355" s="197">
        <f ca="1">IF(Tabela_Movimentacao[[#This Row],[Status]]="Cancelado","",IF(Tabela_Movimentacao[[#This Row],[Status]]&lt;&gt;"Pago","",Tabela_Movimentacao[[#This Row],[Valor]]))</f>
        <v>1387.54</v>
      </c>
    </row>
    <row r="356" spans="1:22" ht="35.5" hidden="1" customHeight="1" x14ac:dyDescent="0.35">
      <c r="A356" s="239" t="str">
        <f>"E"&amp;ROW()-10</f>
        <v>E346</v>
      </c>
      <c r="B356" s="255" t="str">
        <f>"FILE"</f>
        <v>FILE</v>
      </c>
      <c r="C356" s="257" t="s">
        <v>62</v>
      </c>
      <c r="D356" s="257" t="s">
        <v>104</v>
      </c>
      <c r="E356" s="258" t="s">
        <v>59</v>
      </c>
      <c r="F356" s="240" t="s">
        <v>541</v>
      </c>
      <c r="G356" s="241">
        <v>44208</v>
      </c>
      <c r="H356" s="242" t="s">
        <v>64</v>
      </c>
      <c r="I356" s="259" t="s">
        <v>222</v>
      </c>
      <c r="J356" s="225" t="s">
        <v>327</v>
      </c>
      <c r="K356" s="243">
        <v>13400</v>
      </c>
      <c r="L356" s="241">
        <v>44208</v>
      </c>
      <c r="M356" s="242" t="s">
        <v>47</v>
      </c>
      <c r="N356" s="242"/>
      <c r="O356" s="241"/>
      <c r="P356" s="241">
        <v>44208</v>
      </c>
      <c r="Q356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6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44208</v>
      </c>
      <c r="S356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356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13400</v>
      </c>
      <c r="U356" s="248">
        <f ca="1">IF(OR(Tabela_Movimentacao[[#This Row],[Status]]="Em Aberto",Tabela_Movimentacao[[#This Row],[Status]]="Prorrogado"),Tabela_Movimentacao[[#This Row],[Valor]],0)</f>
        <v>0</v>
      </c>
      <c r="V356" s="197">
        <f ca="1">IF(Tabela_Movimentacao[[#This Row],[Status]]="Cancelado","",IF(Tabela_Movimentacao[[#This Row],[Status]]&lt;&gt;"Pago","",Tabela_Movimentacao[[#This Row],[Valor]]))</f>
        <v>13400</v>
      </c>
    </row>
    <row r="357" spans="1:22" ht="35.5" hidden="1" customHeight="1" x14ac:dyDescent="0.35">
      <c r="A357" s="239" t="str">
        <f>"E"&amp;ROW()-10</f>
        <v>E347</v>
      </c>
      <c r="B357" s="255" t="str">
        <f>"FILE"</f>
        <v>FILE</v>
      </c>
      <c r="C357" s="257" t="s">
        <v>56</v>
      </c>
      <c r="D357" s="257" t="s">
        <v>49</v>
      </c>
      <c r="E357" s="258" t="s">
        <v>50</v>
      </c>
      <c r="F357" s="240" t="s">
        <v>541</v>
      </c>
      <c r="G357" s="241">
        <v>44208</v>
      </c>
      <c r="H357" s="242" t="s">
        <v>64</v>
      </c>
      <c r="I357" s="259" t="s">
        <v>542</v>
      </c>
      <c r="J357" s="225" t="s">
        <v>327</v>
      </c>
      <c r="K357" s="243">
        <v>13400</v>
      </c>
      <c r="L357" s="241">
        <v>44208</v>
      </c>
      <c r="M357" s="242" t="s">
        <v>47</v>
      </c>
      <c r="N357" s="242"/>
      <c r="O357" s="241"/>
      <c r="P357" s="241">
        <v>44208</v>
      </c>
      <c r="Q357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7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44208</v>
      </c>
      <c r="S357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44197</v>
      </c>
      <c r="T357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-13400</v>
      </c>
      <c r="U357" s="248">
        <f ca="1">IF(OR(Tabela_Movimentacao[[#This Row],[Status]]="Em Aberto",Tabela_Movimentacao[[#This Row],[Status]]="Prorrogado"),Tabela_Movimentacao[[#This Row],[Valor]],0)</f>
        <v>0</v>
      </c>
      <c r="V357" s="197">
        <f ca="1">IF(Tabela_Movimentacao[[#This Row],[Status]]="Cancelado","",IF(Tabela_Movimentacao[[#This Row],[Status]]&lt;&gt;"Pago","",Tabela_Movimentacao[[#This Row],[Valor]]))</f>
        <v>13400</v>
      </c>
    </row>
    <row r="358" spans="1:22" ht="35.5" hidden="1" customHeight="1" x14ac:dyDescent="0.35">
      <c r="A358" s="239" t="str">
        <f>"E"&amp;ROW()-10</f>
        <v>E348</v>
      </c>
      <c r="B358" s="255" t="str">
        <f>"FILE"</f>
        <v>FILE</v>
      </c>
      <c r="C358" s="257" t="s">
        <v>62</v>
      </c>
      <c r="D358" s="257" t="s">
        <v>104</v>
      </c>
      <c r="E358" s="258" t="s">
        <v>59</v>
      </c>
      <c r="F358" s="240" t="s">
        <v>543</v>
      </c>
      <c r="G358" s="241">
        <v>44357</v>
      </c>
      <c r="H358" s="242" t="s">
        <v>64</v>
      </c>
      <c r="I358" s="225" t="s">
        <v>222</v>
      </c>
      <c r="J358" s="225" t="s">
        <v>327</v>
      </c>
      <c r="K358" s="230">
        <v>976.03</v>
      </c>
      <c r="L358" s="241">
        <v>44357</v>
      </c>
      <c r="M358" s="242" t="s">
        <v>105</v>
      </c>
      <c r="N358" s="242"/>
      <c r="O358" s="241"/>
      <c r="P358" s="241">
        <v>44357</v>
      </c>
      <c r="Q358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8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44357</v>
      </c>
      <c r="S358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44348</v>
      </c>
      <c r="T358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976.03</v>
      </c>
      <c r="U358" s="248">
        <f ca="1">IF(OR(Tabela_Movimentacao[[#This Row],[Status]]="Em Aberto",Tabela_Movimentacao[[#This Row],[Status]]="Prorrogado"),Tabela_Movimentacao[[#This Row],[Valor]],0)</f>
        <v>0</v>
      </c>
      <c r="V358" s="197">
        <f ca="1">IF(Tabela_Movimentacao[[#This Row],[Status]]="Cancelado","",IF(Tabela_Movimentacao[[#This Row],[Status]]&lt;&gt;"Pago","",Tabela_Movimentacao[[#This Row],[Valor]]))</f>
        <v>976.03</v>
      </c>
    </row>
    <row r="359" spans="1:22" ht="35.5" hidden="1" customHeight="1" x14ac:dyDescent="0.35">
      <c r="A359" s="239" t="str">
        <f>"E"&amp;ROW()-10</f>
        <v>E349</v>
      </c>
      <c r="B359" s="255" t="str">
        <f>"FILE"</f>
        <v>FILE</v>
      </c>
      <c r="C359" s="257" t="s">
        <v>56</v>
      </c>
      <c r="D359" s="257" t="s">
        <v>13</v>
      </c>
      <c r="E359" s="258" t="s">
        <v>16</v>
      </c>
      <c r="F359" s="240" t="s">
        <v>543</v>
      </c>
      <c r="G359" s="241">
        <v>44357</v>
      </c>
      <c r="H359" s="242" t="s">
        <v>64</v>
      </c>
      <c r="I359" s="259" t="s">
        <v>173</v>
      </c>
      <c r="J359" s="225" t="s">
        <v>327</v>
      </c>
      <c r="K359" s="230">
        <v>976.03</v>
      </c>
      <c r="L359" s="241">
        <v>44357</v>
      </c>
      <c r="M359" s="242" t="s">
        <v>105</v>
      </c>
      <c r="N359" s="242"/>
      <c r="O359" s="241"/>
      <c r="P359" s="241">
        <v>44357</v>
      </c>
      <c r="Q359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59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44357</v>
      </c>
      <c r="S359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44348</v>
      </c>
      <c r="T359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-976.03</v>
      </c>
      <c r="U359" s="248">
        <f ca="1">IF(OR(Tabela_Movimentacao[[#This Row],[Status]]="Em Aberto",Tabela_Movimentacao[[#This Row],[Status]]="Prorrogado"),Tabela_Movimentacao[[#This Row],[Valor]],0)</f>
        <v>0</v>
      </c>
      <c r="V359" s="197">
        <f ca="1">IF(Tabela_Movimentacao[[#This Row],[Status]]="Cancelado","",IF(Tabela_Movimentacao[[#This Row],[Status]]&lt;&gt;"Pago","",Tabela_Movimentacao[[#This Row],[Valor]]))</f>
        <v>976.03</v>
      </c>
    </row>
    <row r="360" spans="1:22" ht="35.5" customHeight="1" x14ac:dyDescent="0.35">
      <c r="A360" s="239" t="str">
        <f>"E"&amp;ROW()-10</f>
        <v>E350</v>
      </c>
      <c r="B360" s="255" t="str">
        <f>"FILE"</f>
        <v>FILE</v>
      </c>
      <c r="C360" s="257" t="s">
        <v>62</v>
      </c>
      <c r="D360" s="257" t="s">
        <v>104</v>
      </c>
      <c r="E360" s="258" t="s">
        <v>59</v>
      </c>
      <c r="F360" s="227" t="s">
        <v>365</v>
      </c>
      <c r="G360" s="228">
        <v>44342</v>
      </c>
      <c r="H360" s="242" t="s">
        <v>64</v>
      </c>
      <c r="I360" s="259" t="s">
        <v>222</v>
      </c>
      <c r="J360" s="259" t="s">
        <v>327</v>
      </c>
      <c r="K360" s="243">
        <v>208.29</v>
      </c>
      <c r="L360" s="228">
        <v>44342</v>
      </c>
      <c r="M360" s="229" t="s">
        <v>105</v>
      </c>
      <c r="N360" s="242"/>
      <c r="O360" s="241"/>
      <c r="P360" s="228">
        <v>44342</v>
      </c>
      <c r="Q360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60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44342</v>
      </c>
      <c r="S360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60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208.29</v>
      </c>
      <c r="U360" s="248">
        <f ca="1">IF(OR(Tabela_Movimentacao[[#This Row],[Status]]="Em Aberto",Tabela_Movimentacao[[#This Row],[Status]]="Prorrogado"),Tabela_Movimentacao[[#This Row],[Valor]],0)</f>
        <v>0</v>
      </c>
      <c r="V360" s="197">
        <f ca="1">IF(Tabela_Movimentacao[[#This Row],[Status]]="Cancelado","",IF(Tabela_Movimentacao[[#This Row],[Status]]&lt;&gt;"Pago","",Tabela_Movimentacao[[#This Row],[Valor]]))</f>
        <v>208.29</v>
      </c>
    </row>
    <row r="361" spans="1:22" ht="35.5" customHeight="1" x14ac:dyDescent="0.35">
      <c r="A361" s="239" t="str">
        <f>"E"&amp;ROW()-10</f>
        <v>E351</v>
      </c>
      <c r="B361" s="255" t="str">
        <f>"FILE"</f>
        <v>FILE</v>
      </c>
      <c r="C361" s="257" t="s">
        <v>56</v>
      </c>
      <c r="D361" s="257" t="s">
        <v>8</v>
      </c>
      <c r="E361" s="258" t="s">
        <v>88</v>
      </c>
      <c r="F361" s="240" t="s">
        <v>544</v>
      </c>
      <c r="G361" s="228">
        <v>44342</v>
      </c>
      <c r="H361" s="229" t="s">
        <v>64</v>
      </c>
      <c r="I361" s="225" t="s">
        <v>272</v>
      </c>
      <c r="J361" s="225" t="s">
        <v>327</v>
      </c>
      <c r="K361" s="243">
        <v>18.29</v>
      </c>
      <c r="L361" s="228">
        <v>44342</v>
      </c>
      <c r="M361" s="229" t="s">
        <v>105</v>
      </c>
      <c r="N361" s="242"/>
      <c r="O361" s="241"/>
      <c r="P361" s="241">
        <v>44342</v>
      </c>
      <c r="Q361" s="244" t="str">
        <f ca="1">IF(Tabela_Movimentacao[[#This Row],[Data Entrada]]="","",IF(Tabela_Movimentacao[[#This Row],[Cancelar]]="Sim","Cancelado",IF(Tabela_Movimentacao[[#This Row],[Pagamento]]&lt;&gt;"","Pago",IF(Tabela_Movimentacao[[#This Row],[Prorrogar]]&lt;&gt;"","Prorrogado",IF(Tabela_Movimentacao[[#This Row],[Vencimento Útil]]&lt;TODAY(),"Vencido","Em Aberto")))))</f>
        <v>Pago</v>
      </c>
      <c r="R361" s="245">
        <f>IFERROR(IF(Tabela_Movimentacao[[#This Row],[Vencimento]]="","",IF(AND(AND(WEEKDAY(IF(IF(Tabela_Movimentacao[[#This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Row],[Vencimento]]))),1)&gt;1,WEEKDAY(IF(IF(Tabela_Movimentacao[[#This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Row],[Vencimento]]))),1)&lt;7),IFERROR(IF(VLOOKUP(IF(IF(Tabela_Movimentacao[[#This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Row],[Vencimento]]))),Tabela_Feriado[[#All],[Feriado]],1,0)&gt;0,FALSE,TRUE),TRUE)),IF(IF(Tabela_Movimentacao[[#This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Row],[Vencimento]]))),WORKDAY(IF(IF(Tabela_Movimentacao[[#This Row],[Cancelar]]="sim","",IF(Tabela_Movimentacao[[#This Row],[Prorrogar]]&lt;&gt;"",Tabela_Movimentacao[[#This Row],[Prorrogar]],Tabela_Movimentacao[[#This Row],[Vencimento]]))=0,"",IF(Tabela_Movimentacao[[#This Row],[Cancelar]]="sim","",IF(Tabela_Movimentacao[[#This Row],[Prorrogar]]&lt;&gt;"",Tabela_Movimentacao[[#This Row],[Prorrogar]],Tabela_Movimentacao[[#This Row],[Vencimento]]))),1,Tabela_Feriado[Feriado]))),"")</f>
        <v>44342</v>
      </c>
      <c r="S361" s="246">
        <f>IF(DATE(YEAR(Tabela_Movimentacao[[#This Row],[Pagamento]]),MONTH(Tabela_Movimentacao[[#This Row],[Pagamento]]),1)=1,"Provisionado",DATE(YEAR(Tabela_Movimentacao[[#This Row],[Pagamento]]),MONTH(Tabela_Movimentacao[[#This Row],[Pagamento]]),1))</f>
        <v>44317</v>
      </c>
      <c r="T361" s="247">
        <f ca="1">IF(AND(Tabela_Movimentacao[[#This Row],[Tipo]]&lt;&gt;"Despesa",Tabela_Movimentacao[[#This Row],[Status]]="Pago"),Tabela_Movimentacao[[#This Row],[Valor]],IF(AND(Tabela_Movimentacao[[#This Row],[Status]]="Pago",Tabela_Movimentacao[[#This Row],[Tipo]]="Despesa"),Tabela_Movimentacao[[#This Row],[Valor]]*-1,0))</f>
        <v>-18.29</v>
      </c>
      <c r="U361" s="248">
        <f ca="1">IF(OR(Tabela_Movimentacao[[#This Row],[Status]]="Em Aberto",Tabela_Movimentacao[[#This Row],[Status]]="Prorrogado"),Tabela_Movimentacao[[#This Row],[Valor]],0)</f>
        <v>0</v>
      </c>
      <c r="V361" s="197">
        <f ca="1">IF(Tabela_Movimentacao[[#This Row],[Status]]="Cancelado","",IF(Tabela_Movimentacao[[#This Row],[Status]]&lt;&gt;"Pago","",Tabela_Movimentacao[[#This Row],[Valor]]))</f>
        <v>18.29</v>
      </c>
    </row>
    <row r="365" spans="1:22" ht="35.5" customHeight="1" x14ac:dyDescent="0.35">
      <c r="K365" s="186"/>
    </row>
  </sheetData>
  <mergeCells count="4">
    <mergeCell ref="G2:H2"/>
    <mergeCell ref="I2:J2"/>
    <mergeCell ref="A2:F5"/>
    <mergeCell ref="A6:F8"/>
  </mergeCells>
  <phoneticPr fontId="9" type="noConversion"/>
  <conditionalFormatting sqref="G3:H8">
    <cfRule type="cellIs" dxfId="328" priority="2609" operator="equal">
      <formula>0</formula>
    </cfRule>
  </conditionalFormatting>
  <conditionalFormatting sqref="I8:J8 J3:J7">
    <cfRule type="cellIs" dxfId="327" priority="2573" operator="equal">
      <formula>0</formula>
    </cfRule>
  </conditionalFormatting>
  <conditionalFormatting sqref="Q11:Q361 P332:P340 P341:Q341 P342:P360 P362:P2996">
    <cfRule type="cellIs" dxfId="326" priority="174" operator="equal">
      <formula>"Prorrogado"</formula>
    </cfRule>
    <cfRule type="cellIs" dxfId="325" priority="175" operator="equal">
      <formula>"Cancelado"</formula>
    </cfRule>
    <cfRule type="cellIs" dxfId="324" priority="176" operator="equal">
      <formula>"Vencido"</formula>
    </cfRule>
    <cfRule type="cellIs" dxfId="323" priority="177" operator="equal">
      <formula>"Pago"</formula>
    </cfRule>
  </conditionalFormatting>
  <conditionalFormatting sqref="B332:B333 E332:O333 B334:O2996">
    <cfRule type="expression" dxfId="322" priority="400">
      <formula>$B332="Receita"</formula>
    </cfRule>
    <cfRule type="expression" dxfId="321" priority="401">
      <formula>$B332="Despesa"</formula>
    </cfRule>
    <cfRule type="expression" dxfId="320" priority="402">
      <formula>$B332="Aporte"</formula>
    </cfRule>
  </conditionalFormatting>
  <conditionalFormatting sqref="C11:P361">
    <cfRule type="expression" dxfId="319" priority="2621">
      <formula>$C11="Receita"</formula>
    </cfRule>
    <cfRule type="expression" dxfId="318" priority="2622">
      <formula>$C11="Despesa"</formula>
    </cfRule>
    <cfRule type="expression" dxfId="317" priority="2623">
      <formula>$C11="Aporte"</formula>
    </cfRule>
  </conditionalFormatting>
  <conditionalFormatting sqref="I3:I7">
    <cfRule type="cellIs" dxfId="316" priority="166" operator="equal">
      <formula>0</formula>
    </cfRule>
  </conditionalFormatting>
  <conditionalFormatting sqref="C332:D333">
    <cfRule type="expression" dxfId="315" priority="163">
      <formula>$C332="Receita"</formula>
    </cfRule>
    <cfRule type="expression" dxfId="314" priority="164">
      <formula>$C332="Despesa"</formula>
    </cfRule>
    <cfRule type="expression" dxfId="313" priority="165">
      <formula>$C332="Aporte"</formula>
    </cfRule>
  </conditionalFormatting>
  <conditionalFormatting sqref="P332:P333">
    <cfRule type="expression" dxfId="312" priority="160">
      <formula>$B332="Receita"</formula>
    </cfRule>
    <cfRule type="expression" dxfId="311" priority="161">
      <formula>$B332="Despesa"</formula>
    </cfRule>
    <cfRule type="expression" dxfId="310" priority="162">
      <formula>$B332="Aporte"</formula>
    </cfRule>
  </conditionalFormatting>
  <conditionalFormatting sqref="H335">
    <cfRule type="expression" dxfId="309" priority="157">
      <formula>$C335="Receita"</formula>
    </cfRule>
    <cfRule type="expression" dxfId="308" priority="158">
      <formula>$C335="Despesa"</formula>
    </cfRule>
    <cfRule type="expression" dxfId="307" priority="159">
      <formula>$C335="Aporte"</formula>
    </cfRule>
  </conditionalFormatting>
  <conditionalFormatting sqref="D334:D335">
    <cfRule type="expression" dxfId="306" priority="154">
      <formula>$C334="Receita"</formula>
    </cfRule>
    <cfRule type="expression" dxfId="305" priority="155">
      <formula>$C334="Despesa"</formula>
    </cfRule>
    <cfRule type="expression" dxfId="304" priority="156">
      <formula>$C334="Aporte"</formula>
    </cfRule>
  </conditionalFormatting>
  <conditionalFormatting sqref="C334:C335">
    <cfRule type="expression" dxfId="303" priority="151">
      <formula>$C334="Receita"</formula>
    </cfRule>
    <cfRule type="expression" dxfId="302" priority="152">
      <formula>$C334="Despesa"</formula>
    </cfRule>
    <cfRule type="expression" dxfId="301" priority="153">
      <formula>$C334="Aporte"</formula>
    </cfRule>
  </conditionalFormatting>
  <conditionalFormatting sqref="P334:P335">
    <cfRule type="expression" dxfId="300" priority="148">
      <formula>$B334="Receita"</formula>
    </cfRule>
    <cfRule type="expression" dxfId="299" priority="149">
      <formula>$B334="Despesa"</formula>
    </cfRule>
    <cfRule type="expression" dxfId="298" priority="150">
      <formula>$B334="Aporte"</formula>
    </cfRule>
  </conditionalFormatting>
  <conditionalFormatting sqref="C336">
    <cfRule type="expression" dxfId="297" priority="145">
      <formula>$C336="Receita"</formula>
    </cfRule>
    <cfRule type="expression" dxfId="296" priority="146">
      <formula>$C336="Despesa"</formula>
    </cfRule>
    <cfRule type="expression" dxfId="295" priority="147">
      <formula>$C336="Aporte"</formula>
    </cfRule>
  </conditionalFormatting>
  <conditionalFormatting sqref="C336">
    <cfRule type="expression" dxfId="294" priority="142">
      <formula>$C336="Receita"</formula>
    </cfRule>
    <cfRule type="expression" dxfId="293" priority="143">
      <formula>$C336="Despesa"</formula>
    </cfRule>
    <cfRule type="expression" dxfId="292" priority="144">
      <formula>$C336="Aporte"</formula>
    </cfRule>
  </conditionalFormatting>
  <conditionalFormatting sqref="C337">
    <cfRule type="expression" dxfId="291" priority="139">
      <formula>$C337="Receita"</formula>
    </cfRule>
    <cfRule type="expression" dxfId="290" priority="140">
      <formula>$C337="Despesa"</formula>
    </cfRule>
    <cfRule type="expression" dxfId="289" priority="141">
      <formula>$C337="Aporte"</formula>
    </cfRule>
  </conditionalFormatting>
  <conditionalFormatting sqref="C337">
    <cfRule type="expression" dxfId="288" priority="136">
      <formula>$C337="Receita"</formula>
    </cfRule>
    <cfRule type="expression" dxfId="287" priority="137">
      <formula>$C337="Despesa"</formula>
    </cfRule>
    <cfRule type="expression" dxfId="286" priority="138">
      <formula>$C337="Aporte"</formula>
    </cfRule>
  </conditionalFormatting>
  <conditionalFormatting sqref="H337">
    <cfRule type="expression" dxfId="285" priority="133">
      <formula>$C337="Receita"</formula>
    </cfRule>
    <cfRule type="expression" dxfId="284" priority="134">
      <formula>$C337="Despesa"</formula>
    </cfRule>
    <cfRule type="expression" dxfId="283" priority="135">
      <formula>$C337="Aporte"</formula>
    </cfRule>
  </conditionalFormatting>
  <conditionalFormatting sqref="P336">
    <cfRule type="expression" dxfId="282" priority="130">
      <formula>$B336="Receita"</formula>
    </cfRule>
    <cfRule type="expression" dxfId="281" priority="131">
      <formula>$B336="Despesa"</formula>
    </cfRule>
    <cfRule type="expression" dxfId="280" priority="132">
      <formula>$B336="Aporte"</formula>
    </cfRule>
  </conditionalFormatting>
  <conditionalFormatting sqref="P337">
    <cfRule type="expression" dxfId="279" priority="127">
      <formula>$B337="Receita"</formula>
    </cfRule>
    <cfRule type="expression" dxfId="278" priority="128">
      <formula>$B337="Despesa"</formula>
    </cfRule>
    <cfRule type="expression" dxfId="277" priority="129">
      <formula>$B337="Aporte"</formula>
    </cfRule>
  </conditionalFormatting>
  <conditionalFormatting sqref="K339">
    <cfRule type="expression" dxfId="276" priority="124">
      <formula>$C339="Receita"</formula>
    </cfRule>
    <cfRule type="expression" dxfId="275" priority="125">
      <formula>$C339="Despesa"</formula>
    </cfRule>
    <cfRule type="expression" dxfId="274" priority="126">
      <formula>$C339="Aporte"</formula>
    </cfRule>
  </conditionalFormatting>
  <conditionalFormatting sqref="P338">
    <cfRule type="expression" dxfId="273" priority="121">
      <formula>$B338="Receita"</formula>
    </cfRule>
    <cfRule type="expression" dxfId="272" priority="122">
      <formula>$B338="Despesa"</formula>
    </cfRule>
    <cfRule type="expression" dxfId="271" priority="123">
      <formula>$B338="Aporte"</formula>
    </cfRule>
  </conditionalFormatting>
  <conditionalFormatting sqref="P339">
    <cfRule type="expression" dxfId="270" priority="118">
      <formula>$B339="Receita"</formula>
    </cfRule>
    <cfRule type="expression" dxfId="269" priority="119">
      <formula>$B339="Despesa"</formula>
    </cfRule>
    <cfRule type="expression" dxfId="268" priority="120">
      <formula>$B339="Aporte"</formula>
    </cfRule>
  </conditionalFormatting>
  <conditionalFormatting sqref="P340:P341">
    <cfRule type="expression" dxfId="267" priority="115">
      <formula>$B340="Receita"</formula>
    </cfRule>
    <cfRule type="expression" dxfId="266" priority="116">
      <formula>$B340="Despesa"</formula>
    </cfRule>
    <cfRule type="expression" dxfId="265" priority="117">
      <formula>$B340="Aporte"</formula>
    </cfRule>
  </conditionalFormatting>
  <conditionalFormatting sqref="P342">
    <cfRule type="expression" dxfId="264" priority="112">
      <formula>$B342="Receita"</formula>
    </cfRule>
    <cfRule type="expression" dxfId="263" priority="113">
      <formula>$B342="Despesa"</formula>
    </cfRule>
    <cfRule type="expression" dxfId="262" priority="114">
      <formula>$B342="Aporte"</formula>
    </cfRule>
  </conditionalFormatting>
  <conditionalFormatting sqref="P343">
    <cfRule type="expression" dxfId="261" priority="109">
      <formula>$B343="Receita"</formula>
    </cfRule>
    <cfRule type="expression" dxfId="260" priority="110">
      <formula>$B343="Despesa"</formula>
    </cfRule>
    <cfRule type="expression" dxfId="259" priority="111">
      <formula>$B343="Aporte"</formula>
    </cfRule>
  </conditionalFormatting>
  <conditionalFormatting sqref="H345">
    <cfRule type="expression" dxfId="258" priority="106">
      <formula>$C345="Receita"</formula>
    </cfRule>
    <cfRule type="expression" dxfId="257" priority="107">
      <formula>$C345="Despesa"</formula>
    </cfRule>
    <cfRule type="expression" dxfId="256" priority="108">
      <formula>$C345="Aporte"</formula>
    </cfRule>
  </conditionalFormatting>
  <conditionalFormatting sqref="P344">
    <cfRule type="expression" dxfId="255" priority="103">
      <formula>$B344="Receita"</formula>
    </cfRule>
    <cfRule type="expression" dxfId="254" priority="104">
      <formula>$B344="Despesa"</formula>
    </cfRule>
    <cfRule type="expression" dxfId="253" priority="105">
      <formula>$B344="Aporte"</formula>
    </cfRule>
  </conditionalFormatting>
  <conditionalFormatting sqref="P345">
    <cfRule type="expression" dxfId="252" priority="100">
      <formula>$B345="Receita"</formula>
    </cfRule>
    <cfRule type="expression" dxfId="251" priority="101">
      <formula>$B345="Despesa"</formula>
    </cfRule>
    <cfRule type="expression" dxfId="250" priority="102">
      <formula>$B345="Aporte"</formula>
    </cfRule>
  </conditionalFormatting>
  <conditionalFormatting sqref="C346">
    <cfRule type="expression" dxfId="249" priority="97">
      <formula>$C346="Receita"</formula>
    </cfRule>
    <cfRule type="expression" dxfId="248" priority="98">
      <formula>$C346="Despesa"</formula>
    </cfRule>
    <cfRule type="expression" dxfId="247" priority="99">
      <formula>$C346="Aporte"</formula>
    </cfRule>
  </conditionalFormatting>
  <conditionalFormatting sqref="C348">
    <cfRule type="expression" dxfId="246" priority="94">
      <formula>$C348="Receita"</formula>
    </cfRule>
    <cfRule type="expression" dxfId="245" priority="95">
      <formula>$C348="Despesa"</formula>
    </cfRule>
    <cfRule type="expression" dxfId="244" priority="96">
      <formula>$C348="Aporte"</formula>
    </cfRule>
  </conditionalFormatting>
  <conditionalFormatting sqref="P346:P348">
    <cfRule type="expression" dxfId="243" priority="91">
      <formula>$B346="Receita"</formula>
    </cfRule>
    <cfRule type="expression" dxfId="242" priority="92">
      <formula>$B346="Despesa"</formula>
    </cfRule>
    <cfRule type="expression" dxfId="241" priority="93">
      <formula>$B346="Aporte"</formula>
    </cfRule>
  </conditionalFormatting>
  <conditionalFormatting sqref="H350">
    <cfRule type="expression" dxfId="240" priority="88">
      <formula>$C350="Receita"</formula>
    </cfRule>
    <cfRule type="expression" dxfId="239" priority="89">
      <formula>$C350="Despesa"</formula>
    </cfRule>
    <cfRule type="expression" dxfId="238" priority="90">
      <formula>$C350="Aporte"</formula>
    </cfRule>
  </conditionalFormatting>
  <conditionalFormatting sqref="H351">
    <cfRule type="expression" dxfId="237" priority="85">
      <formula>$C351="Receita"</formula>
    </cfRule>
    <cfRule type="expression" dxfId="236" priority="86">
      <formula>$C351="Despesa"</formula>
    </cfRule>
    <cfRule type="expression" dxfId="235" priority="87">
      <formula>$C351="Aporte"</formula>
    </cfRule>
  </conditionalFormatting>
  <conditionalFormatting sqref="H352">
    <cfRule type="expression" dxfId="234" priority="82">
      <formula>$C352="Receita"</formula>
    </cfRule>
    <cfRule type="expression" dxfId="233" priority="83">
      <formula>$C352="Despesa"</formula>
    </cfRule>
    <cfRule type="expression" dxfId="232" priority="84">
      <formula>$C352="Aporte"</formula>
    </cfRule>
  </conditionalFormatting>
  <conditionalFormatting sqref="H353">
    <cfRule type="expression" dxfId="231" priority="79">
      <formula>$C353="Receita"</formula>
    </cfRule>
    <cfRule type="expression" dxfId="230" priority="80">
      <formula>$C353="Despesa"</formula>
    </cfRule>
    <cfRule type="expression" dxfId="229" priority="81">
      <formula>$C353="Aporte"</formula>
    </cfRule>
  </conditionalFormatting>
  <conditionalFormatting sqref="H353">
    <cfRule type="expression" dxfId="228" priority="76">
      <formula>$C353="Receita"</formula>
    </cfRule>
    <cfRule type="expression" dxfId="227" priority="77">
      <formula>$C353="Despesa"</formula>
    </cfRule>
    <cfRule type="expression" dxfId="226" priority="78">
      <formula>$C353="Aporte"</formula>
    </cfRule>
  </conditionalFormatting>
  <conditionalFormatting sqref="H354">
    <cfRule type="expression" dxfId="225" priority="73">
      <formula>$C354="Receita"</formula>
    </cfRule>
    <cfRule type="expression" dxfId="224" priority="74">
      <formula>$C354="Despesa"</formula>
    </cfRule>
    <cfRule type="expression" dxfId="223" priority="75">
      <formula>$C354="Aporte"</formula>
    </cfRule>
  </conditionalFormatting>
  <conditionalFormatting sqref="H354">
    <cfRule type="expression" dxfId="222" priority="70">
      <formula>$C354="Receita"</formula>
    </cfRule>
    <cfRule type="expression" dxfId="221" priority="71">
      <formula>$C354="Despesa"</formula>
    </cfRule>
    <cfRule type="expression" dxfId="220" priority="72">
      <formula>$C354="Aporte"</formula>
    </cfRule>
  </conditionalFormatting>
  <conditionalFormatting sqref="C350">
    <cfRule type="expression" dxfId="219" priority="67">
      <formula>$C350="Receita"</formula>
    </cfRule>
    <cfRule type="expression" dxfId="218" priority="68">
      <formula>$C350="Despesa"</formula>
    </cfRule>
    <cfRule type="expression" dxfId="217" priority="69">
      <formula>$C350="Aporte"</formula>
    </cfRule>
  </conditionalFormatting>
  <conditionalFormatting sqref="P349">
    <cfRule type="expression" dxfId="216" priority="64">
      <formula>$B349="Receita"</formula>
    </cfRule>
    <cfRule type="expression" dxfId="215" priority="65">
      <formula>$B349="Despesa"</formula>
    </cfRule>
    <cfRule type="expression" dxfId="214" priority="66">
      <formula>$B349="Aporte"</formula>
    </cfRule>
  </conditionalFormatting>
  <conditionalFormatting sqref="P350">
    <cfRule type="expression" dxfId="213" priority="61">
      <formula>$B350="Receita"</formula>
    </cfRule>
    <cfRule type="expression" dxfId="212" priority="62">
      <formula>$B350="Despesa"</formula>
    </cfRule>
    <cfRule type="expression" dxfId="211" priority="63">
      <formula>$B350="Aporte"</formula>
    </cfRule>
  </conditionalFormatting>
  <conditionalFormatting sqref="P351">
    <cfRule type="expression" dxfId="210" priority="58">
      <formula>$B351="Receita"</formula>
    </cfRule>
    <cfRule type="expression" dxfId="209" priority="59">
      <formula>$B351="Despesa"</formula>
    </cfRule>
    <cfRule type="expression" dxfId="208" priority="60">
      <formula>$B351="Aporte"</formula>
    </cfRule>
  </conditionalFormatting>
  <conditionalFormatting sqref="C352:C354">
    <cfRule type="expression" dxfId="207" priority="55">
      <formula>$C352="Receita"</formula>
    </cfRule>
    <cfRule type="expression" dxfId="206" priority="56">
      <formula>$C352="Despesa"</formula>
    </cfRule>
    <cfRule type="expression" dxfId="205" priority="57">
      <formula>$C352="Aporte"</formula>
    </cfRule>
  </conditionalFormatting>
  <conditionalFormatting sqref="H355">
    <cfRule type="expression" dxfId="204" priority="52">
      <formula>$C355="Receita"</formula>
    </cfRule>
    <cfRule type="expression" dxfId="203" priority="53">
      <formula>$C355="Despesa"</formula>
    </cfRule>
    <cfRule type="expression" dxfId="202" priority="54">
      <formula>$C355="Aporte"</formula>
    </cfRule>
  </conditionalFormatting>
  <conditionalFormatting sqref="H355">
    <cfRule type="expression" dxfId="201" priority="49">
      <formula>$C355="Receita"</formula>
    </cfRule>
    <cfRule type="expression" dxfId="200" priority="50">
      <formula>$C355="Despesa"</formula>
    </cfRule>
    <cfRule type="expression" dxfId="199" priority="51">
      <formula>$C355="Aporte"</formula>
    </cfRule>
  </conditionalFormatting>
  <conditionalFormatting sqref="C355">
    <cfRule type="expression" dxfId="198" priority="46">
      <formula>$C355="Receita"</formula>
    </cfRule>
    <cfRule type="expression" dxfId="197" priority="47">
      <formula>$C355="Despesa"</formula>
    </cfRule>
    <cfRule type="expression" dxfId="196" priority="48">
      <formula>$C355="Aporte"</formula>
    </cfRule>
  </conditionalFormatting>
  <conditionalFormatting sqref="P352:P355">
    <cfRule type="expression" dxfId="195" priority="43">
      <formula>$B352="Receita"</formula>
    </cfRule>
    <cfRule type="expression" dxfId="194" priority="44">
      <formula>$B352="Despesa"</formula>
    </cfRule>
    <cfRule type="expression" dxfId="193" priority="45">
      <formula>$B352="Aporte"</formula>
    </cfRule>
  </conditionalFormatting>
  <conditionalFormatting sqref="K357">
    <cfRule type="expression" dxfId="192" priority="40">
      <formula>$C357="Receita"</formula>
    </cfRule>
    <cfRule type="expression" dxfId="191" priority="41">
      <formula>$C357="Despesa"</formula>
    </cfRule>
    <cfRule type="expression" dxfId="190" priority="42">
      <formula>$C357="Aporte"</formula>
    </cfRule>
  </conditionalFormatting>
  <conditionalFormatting sqref="C357">
    <cfRule type="expression" dxfId="189" priority="37">
      <formula>$C357="Receita"</formula>
    </cfRule>
    <cfRule type="expression" dxfId="188" priority="38">
      <formula>$C357="Despesa"</formula>
    </cfRule>
    <cfRule type="expression" dxfId="187" priority="39">
      <formula>$C357="Aporte"</formula>
    </cfRule>
  </conditionalFormatting>
  <conditionalFormatting sqref="P356:P357">
    <cfRule type="expression" dxfId="186" priority="34">
      <formula>$B356="Receita"</formula>
    </cfRule>
    <cfRule type="expression" dxfId="185" priority="35">
      <formula>$B356="Despesa"</formula>
    </cfRule>
    <cfRule type="expression" dxfId="184" priority="36">
      <formula>$B356="Aporte"</formula>
    </cfRule>
  </conditionalFormatting>
  <conditionalFormatting sqref="H356">
    <cfRule type="expression" dxfId="183" priority="31">
      <formula>$C356="Receita"</formula>
    </cfRule>
    <cfRule type="expression" dxfId="182" priority="32">
      <formula>$C356="Despesa"</formula>
    </cfRule>
    <cfRule type="expression" dxfId="181" priority="33">
      <formula>$C356="Aporte"</formula>
    </cfRule>
  </conditionalFormatting>
  <conditionalFormatting sqref="H356">
    <cfRule type="expression" dxfId="180" priority="28">
      <formula>$C356="Receita"</formula>
    </cfRule>
    <cfRule type="expression" dxfId="179" priority="29">
      <formula>$C356="Despesa"</formula>
    </cfRule>
    <cfRule type="expression" dxfId="178" priority="30">
      <formula>$C356="Aporte"</formula>
    </cfRule>
  </conditionalFormatting>
  <conditionalFormatting sqref="F359">
    <cfRule type="expression" dxfId="26" priority="25">
      <formula>$C359="Receita"</formula>
    </cfRule>
    <cfRule type="expression" dxfId="25" priority="26">
      <formula>$C359="Despesa"</formula>
    </cfRule>
    <cfRule type="expression" dxfId="24" priority="27">
      <formula>$C359="Aporte"</formula>
    </cfRule>
  </conditionalFormatting>
  <conditionalFormatting sqref="C358">
    <cfRule type="expression" dxfId="23" priority="22">
      <formula>$C358="Receita"</formula>
    </cfRule>
    <cfRule type="expression" dxfId="22" priority="23">
      <formula>$C358="Despesa"</formula>
    </cfRule>
    <cfRule type="expression" dxfId="21" priority="24">
      <formula>$C358="Aporte"</formula>
    </cfRule>
  </conditionalFormatting>
  <conditionalFormatting sqref="C358">
    <cfRule type="expression" dxfId="20" priority="19">
      <formula>$C358="Receita"</formula>
    </cfRule>
    <cfRule type="expression" dxfId="19" priority="20">
      <formula>$C358="Despesa"</formula>
    </cfRule>
    <cfRule type="expression" dxfId="18" priority="21">
      <formula>$C358="Aporte"</formula>
    </cfRule>
  </conditionalFormatting>
  <conditionalFormatting sqref="C359">
    <cfRule type="expression" dxfId="17" priority="16">
      <formula>$C359="Receita"</formula>
    </cfRule>
    <cfRule type="expression" dxfId="16" priority="17">
      <formula>$C359="Despesa"</formula>
    </cfRule>
    <cfRule type="expression" dxfId="15" priority="18">
      <formula>$C359="Aporte"</formula>
    </cfRule>
  </conditionalFormatting>
  <conditionalFormatting sqref="C359">
    <cfRule type="expression" dxfId="14" priority="13">
      <formula>$C359="Receita"</formula>
    </cfRule>
    <cfRule type="expression" dxfId="13" priority="14">
      <formula>$C359="Despesa"</formula>
    </cfRule>
    <cfRule type="expression" dxfId="12" priority="15">
      <formula>$C359="Aporte"</formula>
    </cfRule>
  </conditionalFormatting>
  <conditionalFormatting sqref="H359">
    <cfRule type="expression" dxfId="11" priority="10">
      <formula>$C359="Receita"</formula>
    </cfRule>
    <cfRule type="expression" dxfId="10" priority="11">
      <formula>$C359="Despesa"</formula>
    </cfRule>
    <cfRule type="expression" dxfId="9" priority="12">
      <formula>$C359="Aporte"</formula>
    </cfRule>
  </conditionalFormatting>
  <conditionalFormatting sqref="P358">
    <cfRule type="expression" dxfId="8" priority="7">
      <formula>$B358="Receita"</formula>
    </cfRule>
    <cfRule type="expression" dxfId="7" priority="8">
      <formula>$B358="Despesa"</formula>
    </cfRule>
    <cfRule type="expression" dxfId="6" priority="9">
      <formula>$B358="Aporte"</formula>
    </cfRule>
  </conditionalFormatting>
  <conditionalFormatting sqref="P359">
    <cfRule type="expression" dxfId="5" priority="4">
      <formula>$B359="Receita"</formula>
    </cfRule>
    <cfRule type="expression" dxfId="4" priority="5">
      <formula>$B359="Despesa"</formula>
    </cfRule>
    <cfRule type="expression" dxfId="3" priority="6">
      <formula>$B359="Aporte"</formula>
    </cfRule>
  </conditionalFormatting>
  <conditionalFormatting sqref="P361">
    <cfRule type="expression" dxfId="2" priority="1">
      <formula>$C361="Receita"</formula>
    </cfRule>
    <cfRule type="expression" dxfId="1" priority="2">
      <formula>$C361="Despesa"</formula>
    </cfRule>
    <cfRule type="expression" dxfId="0" priority="3">
      <formula>$C361="Aporte"</formula>
    </cfRule>
  </conditionalFormatting>
  <dataValidations disablePrompts="1" count="5">
    <dataValidation type="list" allowBlank="1" showInputMessage="1" showErrorMessage="1" errorTitle="Atenção!" error="Escolha o modo de pagamento da despesa. Caso tenha sido um aporte, informar na célula ao lado qual sócio o fez." sqref="M11:M361" xr:uid="{3606571A-B04D-4C0F-A461-2123C168B49D}">
      <formula1>pagamento</formula1>
    </dataValidation>
    <dataValidation type="list" allowBlank="1" showInputMessage="1" showErrorMessage="1" errorTitle="Atenção" error="Escrever SIM caso queira cancelar essa despesa." sqref="N11:N361" xr:uid="{5497561F-4A64-41A5-9B81-47E28B740A46}">
      <formula1>cancelar</formula1>
    </dataValidation>
    <dataValidation type="list" allowBlank="1" showInputMessage="1" showErrorMessage="1" sqref="C11:C361" xr:uid="{3A4E7FDA-0EE5-4CA6-9710-F4F86D70F729}">
      <formula1>Entrada</formula1>
    </dataValidation>
    <dataValidation type="list" allowBlank="1" showInputMessage="1" showErrorMessage="1" sqref="J11:J361" xr:uid="{8138CA11-C369-4654-B077-9447B73E79A1}">
      <formula1>negócio</formula1>
    </dataValidation>
    <dataValidation type="list" allowBlank="1" showInputMessage="1" showErrorMessage="1" sqref="D11:E361" xr:uid="{F1D174D9-537E-4A7D-9797-F43DC21E7C57}">
      <formula1>INDIRECT(C11)</formula1>
    </dataValidation>
  </dataValidations>
  <hyperlinks>
    <hyperlink ref="B74" r:id="rId1" display="Pagamentos\E64 CO.pdf" xr:uid="{9ECF23C8-A15F-4A64-86BA-182DC29B6CEB}"/>
    <hyperlink ref="B115" r:id="rId2" display="Pagamentos\E105 CO.jpeg" xr:uid="{1D3FAC74-0177-4229-904C-71BCE2D45CD2}"/>
    <hyperlink ref="B218:B219" r:id="rId3" display="Pagamentos\E208 - 209 CO.pdf" xr:uid="{C4796360-56E6-48DF-998B-2043F8C5DBAE}"/>
    <hyperlink ref="B196:B197" r:id="rId4" display="Pagamentos\E186 - E187 CO.pdf" xr:uid="{918F2C92-61C9-4D79-BFC1-F3B5C6E76366}"/>
    <hyperlink ref="B192:B193" r:id="rId5" display="Pagamentos\E182 - E183 CO.pdf" xr:uid="{5BBE0700-2094-459F-8F94-8C9B32FA5D13}"/>
    <hyperlink ref="B330:B331" r:id="rId6" display="Pagamentos\E320 - E321 CO.pdf" xr:uid="{A3FB4220-7525-4473-BC21-6E3EF011C387}"/>
    <hyperlink ref="B328:B329" r:id="rId7" display="Pagamentos\E318 - E319 CO.pdf" xr:uid="{32ECFD16-7BE5-4E24-8BD2-3E27FD5C3A2C}"/>
    <hyperlink ref="B326:B327" r:id="rId8" display="Pagamentos\E316 - E317 CO.pdf" xr:uid="{3B5F09A0-2282-404C-A656-18C01F3BC82E}"/>
    <hyperlink ref="B324:B325" r:id="rId9" display="Pagamentos\E314 - E315 CO.pdf" xr:uid="{442395DF-685D-4DF2-B961-DBD091FD26D3}"/>
    <hyperlink ref="B322:B323" r:id="rId10" display="Pagamentos\E312 - E313 CO.jpeg" xr:uid="{1228C770-304D-4CA7-A062-DAE148B6A36E}"/>
    <hyperlink ref="B320:B321" r:id="rId11" display="Pagamentos\E310 - E311 CO.pdf" xr:uid="{2E0292F0-2577-4FA5-B34B-DDD7ABDBC0FC}"/>
    <hyperlink ref="B318:B319" r:id="rId12" display="Pagamentos\E308 - E309 CO.jpeg" xr:uid="{4232DB13-51BB-445E-B1DD-7C46032FC2A9}"/>
    <hyperlink ref="B310:B311" r:id="rId13" display="Pagamentos\E300 - E301 CO.jpeg" xr:uid="{43339FFC-8ECE-4E23-9836-6FDDD6AA893D}"/>
    <hyperlink ref="B316:B317" r:id="rId14" display="Pagamentos\E306 - E307 CO.jpeg" xr:uid="{7A271429-C92B-41A0-9C3D-E3849F287F2A}"/>
    <hyperlink ref="B314:B315" r:id="rId15" display="Pagamentos\E304 - E305 CO.pdf" xr:uid="{2A620C67-64C0-42EC-93CB-F220AF942C08}"/>
    <hyperlink ref="B312:B313" r:id="rId16" display="Pagamentos\E302 - E303 CO.pdf" xr:uid="{55147789-D216-462E-96BC-3630639ACBE4}"/>
    <hyperlink ref="B308:B309" r:id="rId17" display="Pagamentos\E298 - E299 CO.pdf" xr:uid="{7C944923-8B7A-4CFA-AC70-AD5D1D238C50}"/>
    <hyperlink ref="B303:B304" r:id="rId18" display="Pagamentos\E293 - E294 CO.pdf" xr:uid="{334DF12B-B1C6-4545-8ADC-16338E45C051}"/>
    <hyperlink ref="B301:B302" r:id="rId19" display="Pagamentos\E291 - E292 CO.jpeg" xr:uid="{B408A4F5-112B-42FB-B7DE-BA7ACDE09CDE}"/>
    <hyperlink ref="B299:B300" r:id="rId20" display="Pagamentos\E289 - E290 CO.pdf" xr:uid="{852A945B-A188-49F3-8834-F4830CC25A75}"/>
    <hyperlink ref="B297:B298" r:id="rId21" display="Pagamentos\E287 - E288 CO.pdf" xr:uid="{F40A66F1-B794-4632-9104-CC570AA5F4EA}"/>
    <hyperlink ref="B295:B296" r:id="rId22" display="Pagamentos\E285 - E286 CO.jpeg" xr:uid="{3F18E3A7-47E8-47F1-A93F-7295772BFF3C}"/>
    <hyperlink ref="B293:B294" r:id="rId23" display="Pagamentos\E283 - E284 CO.pdf" xr:uid="{5D909B86-F55D-4746-9181-ADC38A3A2E0A}"/>
    <hyperlink ref="B291:B292" r:id="rId24" display="Pagamentos\E281 - E282 CO.pdf" xr:uid="{212CECD1-E758-48AD-B9C4-54E4144BC4C7}"/>
    <hyperlink ref="B290" r:id="rId25" display="Pagamentos\E280 CO.jpeg" xr:uid="{E6C0D59D-9972-43C0-8316-AA0819C44E51}"/>
    <hyperlink ref="B288:B289" r:id="rId26" display="Pagamentos\E278 - E279 CO.pdf" xr:uid="{DEE762F3-4C0A-4256-AE13-78C21DD2D12D}"/>
    <hyperlink ref="B286:B287" r:id="rId27" display="Pagamentos\E276 - E277 CO.pdf" xr:uid="{21911DF1-B5CF-4BD0-88FC-54116FAE17F5}"/>
    <hyperlink ref="B284:B285" r:id="rId28" display="Pagamentos\E274 - E275 CO.pdf" xr:uid="{E881EDA0-E97B-4B2D-B4CD-93B44F87232C}"/>
    <hyperlink ref="B283" r:id="rId29" display="Pagamentos\E273 CO.jpeg" xr:uid="{08A4838C-C2B0-424D-920D-053C99CE862A}"/>
    <hyperlink ref="B281:B282" r:id="rId30" display="Pagamentos\E271 - E272 CO.jpeg" xr:uid="{076708CE-7612-4FB5-A29A-343AE2B18298}"/>
    <hyperlink ref="B279:B280" r:id="rId31" display="Pagamentos\E269 - E270 CO.pdf" xr:uid="{3BA27FAB-5682-4C34-871A-65D6DA3A2249}"/>
    <hyperlink ref="B277:B278" r:id="rId32" display="Pagamentos\E267 - E268 CO.pdf" xr:uid="{1DB29C3B-1366-4D7C-9F33-5C02678A705C}"/>
    <hyperlink ref="B275:B276" r:id="rId33" display="Pagamentos\E265 - E266 CO.pdf" xr:uid="{39313A65-C561-4286-A6E9-05BD4FE75D95}"/>
    <hyperlink ref="B273:B274" r:id="rId34" display="Pagamentos\E263 - E264 CO.pdf" xr:uid="{4878FA45-AF09-4DB5-A5B4-08AFB786BDF3}"/>
    <hyperlink ref="B271:B272" r:id="rId35" display="Pagamentos\E261 - E262 CO.pdf" xr:uid="{D01273EA-18A1-408F-97F5-C1E65141E2E3}"/>
    <hyperlink ref="B270" r:id="rId36" display="Pagamentos\E258 - E260 CO.jpeg" xr:uid="{4348A406-3B73-4FBF-80F1-748AA431450B}"/>
    <hyperlink ref="B268" r:id="rId37" display="Pagamentos\E258 - E260 CO.jpeg" xr:uid="{69C4AB7C-CC76-4AAB-8C95-8822546FB2BA}"/>
    <hyperlink ref="B269" r:id="rId38" display="Pagamentos\E257 - E259 CO.jpeg" xr:uid="{1F366D19-1132-4915-9DDA-546464297A55}"/>
    <hyperlink ref="B267" r:id="rId39" display="Pagamentos\E257 - E259 CO.jpeg" xr:uid="{07B93781-998D-4D5A-A530-56D7E7EA85E5}"/>
    <hyperlink ref="B265:B266" r:id="rId40" display="Pagamentos\E255 - E256 CO.jpeg" xr:uid="{26011B96-4FB2-4231-A59A-A19A1396E0F1}"/>
    <hyperlink ref="B260" r:id="rId41" display="Pagamentos\E249 - E250 CO.pdf" xr:uid="{DE11328E-77DE-4AE5-8750-686955243A39}"/>
    <hyperlink ref="B259" r:id="rId42" display="Pagamentos\E249 - E250 CO.pdf" xr:uid="{FC03ACEF-BD8F-4EF5-A89E-FA130AF08F53}"/>
    <hyperlink ref="B258" r:id="rId43" display="Pagamentos\E247 - E248 CO.pdf" xr:uid="{481D2DF1-AD00-4A9F-ABAD-551816A947A3}"/>
    <hyperlink ref="B257" r:id="rId44" display="Pagamentos\E247 - E248 CO.pdf" xr:uid="{B48C996C-E150-442A-BD85-C89CEB6CEEB0}"/>
    <hyperlink ref="B256" r:id="rId45" display="Pagamentos\E245 - E246 CO.jpeg" xr:uid="{BFA802CF-39DB-4DE5-B9C8-2D0C3C239AB5}"/>
    <hyperlink ref="B255" r:id="rId46" display="Pagamentos\E245 - E246 CO.jpeg" xr:uid="{2E78DB88-3A91-447A-8032-38DAC75E69B3}"/>
    <hyperlink ref="B254" r:id="rId47" display="Pagamentos\E243 - E244 CO.pdf" xr:uid="{C5B6AA48-6C80-4643-8A72-B85D328162CA}"/>
    <hyperlink ref="B253" r:id="rId48" display="Pagamentos\E243 - E244 CO.pdf" xr:uid="{D7C39DDC-9E09-4B16-8328-03BC73CD4366}"/>
    <hyperlink ref="B252" r:id="rId49" display="Pagamentos\E241 - E242 CO.pdf" xr:uid="{CF1D361F-BB41-45F9-8063-31B7A9CA263E}"/>
    <hyperlink ref="B251" r:id="rId50" display="Pagamentos\E241 - E242 CO.pdf" xr:uid="{BFEBFB5F-239E-43B3-9B7B-30F7819D589E}"/>
    <hyperlink ref="B250" r:id="rId51" display="Pagamentos\E239 - E240 CO.pdf" xr:uid="{05C3408A-1A8C-499F-AB55-A6D07F6B4E8F}"/>
    <hyperlink ref="B249" r:id="rId52" display="Pagamentos\E239 - E240 CO.pdf" xr:uid="{7363084F-BD1C-4F5C-B850-94B15DC99FE4}"/>
    <hyperlink ref="B248" r:id="rId53" display="Pagamentos\E237 - E238 CO.jpeg" xr:uid="{09750DFC-3C88-4932-A7EF-CDDEB379447F}"/>
    <hyperlink ref="B247" r:id="rId54" display="Pagamentos\E237 - E238 CO.jpeg" xr:uid="{9684CAE8-C070-4F54-901F-80BFB793CE44}"/>
    <hyperlink ref="B246" r:id="rId55" display="Pagamentos\E235 - E236 CO.pdf" xr:uid="{2F0779A9-442F-4743-9358-68ABD2F29CCC}"/>
    <hyperlink ref="B245" r:id="rId56" display="Pagamentos\E235 - E236 CO.pdf" xr:uid="{BC1BF514-16E6-4305-A002-3BBE80680C75}"/>
    <hyperlink ref="B244" r:id="rId57" display="Pagamentos\E233 - E234 CO.pdf" xr:uid="{8159B1CD-8A20-422E-9EEC-342AFA7F841F}"/>
    <hyperlink ref="B243" r:id="rId58" display="Pagamentos\E233 - E234 CO.pdf" xr:uid="{A9EDFE15-4478-4434-84DF-CCCBF3CF51CC}"/>
    <hyperlink ref="B242" r:id="rId59" display="Pagamentos\E231 - E232 CO.jpeg" xr:uid="{FDF4076A-8047-4024-A7D0-1F270A7A78C0}"/>
    <hyperlink ref="B241" r:id="rId60" display="Pagamentos\E231 - E232 CO.jpeg" xr:uid="{F0C1A5CB-6165-4F9B-833C-EF1B5DC762F0}"/>
    <hyperlink ref="B240" r:id="rId61" display="Pagamentos\E229 - E230 CO.pdf" xr:uid="{2E5C46B4-1EA4-4D02-BF46-119C7CD3EA82}"/>
    <hyperlink ref="B239" r:id="rId62" display="Pagamentos\E229 - E230 CO.pdf" xr:uid="{D01CF27A-53E0-42FC-9499-9CDBEB626171}"/>
    <hyperlink ref="B238" r:id="rId63" display="Pagamentos\E227 - E228 CO.pdf" xr:uid="{37FA596F-ACA7-4DBD-BC85-9F56A986447B}"/>
    <hyperlink ref="B237" r:id="rId64" display="Pagamentos\E227 - E228 CO.pdf" xr:uid="{6F8720FC-743A-458C-B9CA-8E6062AC3435}"/>
    <hyperlink ref="B234" r:id="rId65" display="Pagamentos\E223 - E224 CO.pdf" xr:uid="{7D6C3FCE-D998-4DB5-ADB3-5690E98282A6}"/>
    <hyperlink ref="B233" r:id="rId66" display="Pagamentos\E223 - E224 CO.pdf" xr:uid="{C3AFBD95-49F2-43DE-B4E3-75EB6B59AD43}"/>
    <hyperlink ref="B232" r:id="rId67" display="Pagamentos\E221 - E222 CO.pdf" xr:uid="{4F91965E-B117-4C01-9006-FD8418753459}"/>
    <hyperlink ref="B231" r:id="rId68" display="Pagamentos\E221 - E222 CO.pdf" xr:uid="{595BDC0B-A38D-4D8E-91BA-DC694138B3E2}"/>
    <hyperlink ref="B230" r:id="rId69" display="Pagamentos\E219 - E220 CO.jpeg" xr:uid="{0B8998FD-8B2A-43E2-B9EE-121A825D1784}"/>
    <hyperlink ref="B229" r:id="rId70" display="Pagamentos\E219 - E220 CO.jpeg" xr:uid="{192112CB-6CBF-4E1C-A560-8D0D00C06A71}"/>
    <hyperlink ref="B228" r:id="rId71" display="Pagamentos\E217 - E218 CO.jpeg" xr:uid="{C327973B-1879-461B-AE1C-6D5C3D1EDC97}"/>
    <hyperlink ref="B227" r:id="rId72" display="Pagamentos\E217 - E218 CO.jpeg" xr:uid="{36D29AD4-5911-4836-B874-C0568FE0D84F}"/>
    <hyperlink ref="B226" r:id="rId73" display="Pagamentos\E215 - E216 CO.jpeg" xr:uid="{31875EEC-A627-4291-9ADD-DDAB281AC3D0}"/>
    <hyperlink ref="B225" r:id="rId74" display="Pagamentos\E215 - E216 CO.jpeg" xr:uid="{99DFDDA4-40E4-4F24-BFC5-868E66244198}"/>
    <hyperlink ref="B217" r:id="rId75" display="Pagamentos\E204 - E205 - E206 - E207 CO.jpeg" xr:uid="{84A8165A-B476-46F4-95BB-A76E9FD921B6}"/>
    <hyperlink ref="B216" r:id="rId76" display="Pagamentos\E204 - E205 - E206 - E207 CO.jpeg" xr:uid="{3D1DF20A-5DFF-495C-9EF9-D3905A5A3354}"/>
    <hyperlink ref="B215" r:id="rId77" display="Pagamentos\E204 - E205 - E206 - E207 CO.jpeg" xr:uid="{901723CC-9BEF-427C-A193-560317FB2774}"/>
    <hyperlink ref="B214" r:id="rId78" display="Pagamentos\E204 - E205 - E206 - E207 CO.jpeg" xr:uid="{8C66ED03-CCE9-469F-B253-069A80B87D10}"/>
    <hyperlink ref="B213" r:id="rId79" display="Pagamentos\E202 - E203 CO.pdf" xr:uid="{0544F0AE-35A6-4201-800B-612ACE3BB11D}"/>
    <hyperlink ref="B212" r:id="rId80" display="Pagamentos\E202 - E203 CO.pdf" xr:uid="{8321C93F-1416-49B7-93CC-E12240A331C5}"/>
    <hyperlink ref="B211" r:id="rId81" display="Pagamentos\E200 - E201 CO.pdf" xr:uid="{4EE9484E-99AD-422F-AAF7-DABD313D842B}"/>
    <hyperlink ref="B210" r:id="rId82" display="Pagamentos\E200 - E201 CO.pdf" xr:uid="{B5341745-A1E9-4624-821B-2B787F3CB7B5}"/>
    <hyperlink ref="B209" r:id="rId83" display="Pagamentos\E198 - E199 CO.jpeg" xr:uid="{A96EA55E-BC89-446E-826A-10758540F51B}"/>
    <hyperlink ref="B208" r:id="rId84" display="Pagamentos\E198 - E199 CO.jpeg" xr:uid="{7748C7D8-3C67-4B94-8244-FEAA2C4544C0}"/>
    <hyperlink ref="B207" r:id="rId85" display="Pagamentos\E196 - E197 CO.jpg" xr:uid="{CA69D238-35B2-4213-9807-A6A20547B4C6}"/>
    <hyperlink ref="B206" r:id="rId86" display="Pagamentos\E196 - E197 CO.jpg" xr:uid="{54D90E69-6D6E-47D3-8FE3-895C99A4FB8B}"/>
    <hyperlink ref="B205" r:id="rId87" display="Pagamentos\E194 - E195 CO.jpeg" xr:uid="{158E9D18-11F2-4987-9B67-B91E0B4F78F3}"/>
    <hyperlink ref="B204" r:id="rId88" display="Pagamentos\E194 - E195 CO.jpeg" xr:uid="{ADE297FA-2A0D-4421-87BC-A61F2FFA4BFA}"/>
    <hyperlink ref="B203" r:id="rId89" display="Pagamentos\E192 - E193 CO.jpeg" xr:uid="{0D11DE82-FB51-4B19-B956-EF04FEFFDDF2}"/>
    <hyperlink ref="B202" r:id="rId90" display="Pagamentos\E192 - E193 CO.jpeg" xr:uid="{0212CF49-F1D7-4A94-A5F8-2E45F38081BD}"/>
    <hyperlink ref="B201" r:id="rId91" display="Pagamentos\E190 - E191 CO.jpeg" xr:uid="{2DBEC93F-B89D-4B41-AE9F-7622B4C2C607}"/>
    <hyperlink ref="B200" r:id="rId92" display="Pagamentos\E190 - E191 CO.jpeg" xr:uid="{DFE9AC96-D801-48EB-B5D2-D7DD8EC6B3B2}"/>
    <hyperlink ref="B199" r:id="rId93" display="Pagamentos\E188 - E189 CO.pdf" xr:uid="{46EA273B-6D08-4577-9E63-A475F31164E9}"/>
    <hyperlink ref="B198" r:id="rId94" display="Pagamentos\E188 - E189 CO.pdf" xr:uid="{0F0E902B-4D99-48CE-B01B-9E86831641E3}"/>
    <hyperlink ref="B195" r:id="rId95" display="Pagamentos\E184 - E185 CO.jpeg" xr:uid="{4A35B013-4383-4A04-A1E6-C6C521B739AB}"/>
    <hyperlink ref="B194" r:id="rId96" display="Pagamentos\E184 - E185 CO.jpeg" xr:uid="{E761DA11-F189-4F7D-8D34-A37FE7579BA8}"/>
    <hyperlink ref="B307" r:id="rId97" display="Pagamentos\E172 - E295 - E296 - E297  CO.pdf" xr:uid="{752BD346-9769-4CED-B477-827A9531AF16}"/>
    <hyperlink ref="B306" r:id="rId98" display="Pagamentos\E172 - E295 - E296 - E297  CO.pdf" xr:uid="{378E6FB3-A9EC-4EB5-B8F9-65A53D4964FB}"/>
    <hyperlink ref="B305" r:id="rId99" display="Pagamentos\E172 - E295 - E296 - E297  CO.pdf" xr:uid="{610B0DF3-7D48-4A97-AF6E-CD50F46C6318}"/>
    <hyperlink ref="B182" r:id="rId100" display="Pagamentos\E172 - E295 - E296 - E297  CO.pdf" xr:uid="{3F682D31-4A72-41F6-B545-8F70AB38DBEB}"/>
    <hyperlink ref="B262" r:id="rId101" display="Pagamentos\E171 - E252 CO.pdf" xr:uid="{3FB2C623-0138-4B98-9744-6388A6AD5863}"/>
    <hyperlink ref="B181" r:id="rId102" display="Pagamentos\E171 - E252 CO.pdf" xr:uid="{9E168D96-89F6-48FC-9C2A-7A56B3153DB1}"/>
    <hyperlink ref="B264" r:id="rId103" display="Pagamentos\E170 - E251 -  E253 E254 CO.pdf" xr:uid="{915A58C5-3C36-4454-8D76-C93DB8DD89EA}"/>
    <hyperlink ref="B263" r:id="rId104" display="Pagamentos\E170 - E251 -  E253 E254 CO.pdf" xr:uid="{CD539D19-60C9-4701-9AB3-758713D38B89}"/>
    <hyperlink ref="B261" r:id="rId105" display="Pagamentos\E170 - E251 -  E253 E254 CO.pdf" xr:uid="{D066F4BD-C01F-4623-9612-E8DC8876B10B}"/>
    <hyperlink ref="B180" r:id="rId106" display="Pagamentos\E170 - E251 -  E253 E254 CO.pdf" xr:uid="{C557B96E-4372-4DDE-8180-9A9E945BC7FB}"/>
    <hyperlink ref="B222" r:id="rId107" display="Pagamentos\E169 - E210 - E211 - E212 CO.pdf" xr:uid="{F8B3AD81-85CF-4908-897B-690A5AC1B203}"/>
    <hyperlink ref="B221" r:id="rId108" display="Pagamentos\E169 - E210 - E211 - E212 CO.pdf" xr:uid="{347DFC7F-BB66-4491-B591-DB11A1F02321}"/>
    <hyperlink ref="B220" r:id="rId109" display="Pagamentos\E169 - E210 - E211 - E212 CO.pdf" xr:uid="{DF22794E-DB74-470C-A756-322189968F3E}"/>
    <hyperlink ref="B179" r:id="rId110" display="Pagamentos\E169 - E210 - E211 - E212 CO.pdf" xr:uid="{50F21B17-D842-47FC-892F-040362C31E2B}"/>
    <hyperlink ref="B191" r:id="rId111" display="Pagamentos\E168 - E181 CO.pdf" xr:uid="{09FF03BF-FA1B-4A49-9182-94A8C328BEC5}"/>
    <hyperlink ref="B178" r:id="rId112" display="Pagamentos\E168 - E181 CO.pdf" xr:uid="{02DDA5B6-3B69-4C6C-836A-4087075377B5}"/>
    <hyperlink ref="B177" r:id="rId113" display="Pagamentos\E167 CO.pdf" xr:uid="{6CA1C8B9-4383-4648-85EA-FD0E91BFE417}"/>
    <hyperlink ref="B176" r:id="rId114" display="Pagamentos\E165 - E166 CO.jpeg" xr:uid="{215A172C-774C-4FD4-9637-C2A6E0CD496E}"/>
    <hyperlink ref="B175" r:id="rId115" display="Pagamentos\E165 - E166 CO.jpeg" xr:uid="{5145BD70-B2D4-40C6-A623-13E5DA54A653}"/>
    <hyperlink ref="B173" r:id="rId116" display="Pagamentos\E162 - E163 CO.jpeg" xr:uid="{0E6FF2FE-DC0D-4326-A301-1BD2BF7F5C21}"/>
    <hyperlink ref="B172" r:id="rId117" display="Pagamentos\E162 - E163 CO.jpeg" xr:uid="{AA297352-EBD1-47D6-9F93-9C57373857EB}"/>
    <hyperlink ref="B171" r:id="rId118" display="Pagamentos\E160 - 161 CO.pdf" xr:uid="{A5030D12-0205-4D56-AE93-93FAF295B7B0}"/>
    <hyperlink ref="B170" r:id="rId119" display="Pagamentos\E160 - 161 CO.pdf" xr:uid="{B57302EF-BEF3-4C4F-88FD-EDF0961B10D0}"/>
    <hyperlink ref="B169" r:id="rId120" display="Pagamentos\E157 - E159 CO.pdf" xr:uid="{E33A59E7-C1CD-41D6-8AA5-227F40758232}"/>
    <hyperlink ref="B167" r:id="rId121" display="Pagamentos\E157 - E159 CO.pdf" xr:uid="{758DBBD0-98B2-4FA9-9B9E-DDC37FE21A73}"/>
    <hyperlink ref="B168" r:id="rId122" display="Pagamentos\E156 - E158 CO.jpeg" xr:uid="{F881899D-0E2A-482F-BD6D-20B00F274A6C}"/>
    <hyperlink ref="B166" r:id="rId123" display="Pagamentos\E156 - E158 CO.jpeg" xr:uid="{16785714-E7D4-486C-BF76-8A24EF899090}"/>
    <hyperlink ref="B174" r:id="rId124" display="Pagamentos\E155 - E164 CO.pdf" xr:uid="{9143599D-58B0-44D3-A452-083F8AD4D0FB}"/>
    <hyperlink ref="B165" r:id="rId125" display="Pagamentos\E155 - E164 CO.pdf" xr:uid="{CF67D9ED-E12E-4E82-A645-68A56C390154}"/>
    <hyperlink ref="B164" r:id="rId126" display="Pagamentos\E153 - E154 CO.jpeg" xr:uid="{D1D3234B-A5C9-4272-85F2-69B4C967025A}"/>
    <hyperlink ref="B163" r:id="rId127" display="Pagamentos\E153 - E154 CO.jpeg" xr:uid="{56FE9F71-C76C-4474-B68B-A78EA5FCC533}"/>
    <hyperlink ref="B162" r:id="rId128" display="Pagamentos\E151 - E152 CO.jpeg" xr:uid="{362819C1-6D22-414D-8208-4D3E5B372A6C}"/>
    <hyperlink ref="B161" r:id="rId129" display="Pagamentos\E151 - E152 CO.jpeg" xr:uid="{A7D1BF84-6E2E-4B29-9F74-CA2C8E8B22C1}"/>
    <hyperlink ref="B160" r:id="rId130" display="Pagamentos\E147 - E148 - E149 - E150 CO.jpeg" xr:uid="{EEAE5A06-17E7-4C27-9D76-4599862739D1}"/>
    <hyperlink ref="B159" r:id="rId131" display="Pagamentos\E147 - E148 - E149 - E150 CO.jpeg" xr:uid="{AC6778F4-14DE-4983-92AC-7557F3FE3B4C}"/>
    <hyperlink ref="B158" r:id="rId132" display="Pagamentos\E147 - E148 - E149 - E150 CO.jpeg" xr:uid="{24BFE7B7-8C7B-4457-AC80-F4DE0A48E1FC}"/>
    <hyperlink ref="B157" r:id="rId133" display="Pagamentos\E147 - E148 - E149 - E150 CO.jpeg" xr:uid="{8EDC15CE-95EB-48CA-BAEC-121A5DE9FCFD}"/>
    <hyperlink ref="B156" r:id="rId134" display="Pagamentos\E145 - E146 CO.pdf" xr:uid="{0755B3EF-3828-4B64-90F8-89C066B1B108}"/>
    <hyperlink ref="B155" r:id="rId135" display="Pagamentos\E145 - E146 CO.pdf" xr:uid="{B928F2B7-6C7B-4793-A9D7-A24628C7ACC1}"/>
    <hyperlink ref="B154" r:id="rId136" display="Pagamentos\E144 CO.jpeg" xr:uid="{4B2969FE-513A-4492-8899-B40F7E386663}"/>
    <hyperlink ref="B153" r:id="rId137" display="Pagamentos\E143 CO.jpeg" xr:uid="{C2F40589-771A-4BC6-B7AB-C32F3B8F767F}"/>
    <hyperlink ref="B152" r:id="rId138" display="Pagamentos\E142 CO.jpeg" xr:uid="{CB3D7285-C919-4B1E-9040-65D7E9E538C3}"/>
    <hyperlink ref="B151" r:id="rId139" display="Pagamentos\E140 - E141 CO.jpeg" xr:uid="{10149D2D-DC88-40ED-A2AF-F2734692AE58}"/>
    <hyperlink ref="B150" r:id="rId140" display="Pagamentos\E140 - E141 CO.jpeg" xr:uid="{9645246C-DB00-40BB-9757-ADA5DD726EAF}"/>
    <hyperlink ref="B149" r:id="rId141" display="Pagamentos\E139 CO.jpeg" xr:uid="{6110BF97-5C52-4AD8-8B23-5BF9C7C06EF4}"/>
    <hyperlink ref="B146" r:id="rId142" display="Pagamentos\E135 - E136 CO.jpeg" xr:uid="{93E9A6E0-19C0-4351-B2BB-C2B70D028DC4}"/>
    <hyperlink ref="B145" r:id="rId143" display="Pagamentos\E135 - E136 CO.jpeg" xr:uid="{9C112AE9-A91B-419C-A604-8BE2DA940982}"/>
    <hyperlink ref="B144" r:id="rId144" display="Pagamentos\E133 - E134 CO.jpeg" xr:uid="{867E84AA-CEA6-4ED4-B955-BA4ED243731C}"/>
    <hyperlink ref="B143" r:id="rId145" display="Pagamentos\E133 - E134 CO.jpeg" xr:uid="{6CF8DE26-0A37-4005-B62A-40151BE0F3C2}"/>
    <hyperlink ref="B142" r:id="rId146" display="Pagamentos\E131 - E132 CO.jpeg" xr:uid="{2BDB0190-832C-45F4-86F2-46E93EB00402}"/>
    <hyperlink ref="B141" r:id="rId147" display="Pagamentos\E131 - E132 CO.jpeg" xr:uid="{F5231794-E37E-4D0F-8F2D-14C2D65F69B6}"/>
    <hyperlink ref="B140" r:id="rId148" display="Pagamentos\E129 - E130 CO.jpeg" xr:uid="{1AEEE65A-E8F4-4ED4-A72F-144F6A59CDBD}"/>
    <hyperlink ref="B139" r:id="rId149" display="Pagamentos\E129 - E130 CO.jpeg" xr:uid="{A077EFE4-943C-4C23-8988-B0F4CC9311D8}"/>
    <hyperlink ref="B138" r:id="rId150" display="Pagamentos\E127 - E128 CO.jpeg" xr:uid="{8867F231-484F-4A67-89CF-2AC0446139F9}"/>
    <hyperlink ref="B137" r:id="rId151" display="Pagamentos\E127 - E128 CO.jpeg" xr:uid="{C3844E56-FC99-4025-ADD0-BBAC5B236298}"/>
    <hyperlink ref="B136" r:id="rId152" display="Pagamentos\E125 - E126 CO.jpeg" xr:uid="{22938D5F-A5E9-4E15-B8C5-C2AC795E1E69}"/>
    <hyperlink ref="B135" r:id="rId153" display="Pagamentos\E125 - E126 CO.jpeg" xr:uid="{46D9C269-AE56-4594-BB09-2B156EA3498D}"/>
    <hyperlink ref="B148" r:id="rId154" display="Pagamentos\E124 - E138 CO.pdf" xr:uid="{DABFA283-FDFD-4351-B365-409FB8A0E749}"/>
    <hyperlink ref="B134" r:id="rId155" display="Pagamentos\E124 - E138 CO.pdf" xr:uid="{823DEA71-B2CC-44CE-9116-140672C3E33D}"/>
    <hyperlink ref="B133" r:id="rId156" display="Pagamentos\E123 CO.jpeg" xr:uid="{E6F2C9AD-4FAE-41B5-97FD-47F6E567A5D6}"/>
    <hyperlink ref="B132" r:id="rId157" display="Pagamentos\E122 CO.pdf" xr:uid="{1B8B47E7-E648-4157-AE16-253BB50E37D0}"/>
    <hyperlink ref="B131" r:id="rId158" display="Pagamentos\E121 CO.jpeg" xr:uid="{1A810D85-E5F7-4614-9B10-A6C040708BBC}"/>
    <hyperlink ref="B130" r:id="rId159" display="Pagamentos\E120 CO.pdf" xr:uid="{36958C29-C78F-493F-92BF-616FE7A3A02E}"/>
    <hyperlink ref="B129" r:id="rId160" display="Pagamentos\E118 - E119 CO.jpeg" xr:uid="{B1E82075-A5F9-4183-9D69-DF45AD5AA3F9}"/>
    <hyperlink ref="B128" r:id="rId161" display="Pagamentos\E118 - E119 CO.jpeg" xr:uid="{E0B169D7-63E5-4CDA-96F5-5424EB48FF91}"/>
    <hyperlink ref="B127" r:id="rId162" display="Pagamentos\E116 - E117 A CO.pdf" xr:uid="{5F17FAC8-318B-4ABF-A51D-751B3E6C47A1}"/>
    <hyperlink ref="B126" r:id="rId163" display="Pagamentos\E116 - E117 A CO.pdf" xr:uid="{F1207736-2DC8-4A2B-8B45-AD1C102CBE62}"/>
    <hyperlink ref="B125" r:id="rId164" display="Pagamentos\E113 - E115 CO.jpeg" xr:uid="{D6DC6FB4-359F-4452-BAA1-57EF796711CF}"/>
    <hyperlink ref="B123" r:id="rId165" display="Pagamentos\E113 - E115 CO.jpeg" xr:uid="{191C6722-7DA7-4606-81E9-B0A58E2FE567}"/>
    <hyperlink ref="B124" r:id="rId166" display="Pagamentos\E112 - 114 CO.pdf" xr:uid="{7BCF7753-5E63-4D2C-AA83-1A7FD940E158}"/>
    <hyperlink ref="B122" r:id="rId167" display="Pagamentos\E112 - 114 CO.pdf" xr:uid="{C54987F0-107E-4A40-A996-43C3F4AF65CB}"/>
    <hyperlink ref="B121" r:id="rId168" display="Pagamentos\E110 - E111 CO.pdf" xr:uid="{B91FB17D-AAA1-4E99-8F6C-C9561F57BF05}"/>
    <hyperlink ref="B120" r:id="rId169" display="Pagamentos\E110 - E111 CO.pdf" xr:uid="{481855C7-7BB5-4401-987B-019E560597F6}"/>
    <hyperlink ref="B119" r:id="rId170" display="Pagamentos\E108 - E109 CO.pdf" xr:uid="{4AB7AE6A-829E-47F1-A522-A5EDAD3DE402}"/>
    <hyperlink ref="B118" r:id="rId171" display="Pagamentos\E108 - E109 CO.pdf" xr:uid="{E3E7D79E-9AB3-4E17-ADDC-DBB577381063}"/>
    <hyperlink ref="B117" r:id="rId172" display="Pagamentos\E106 - E107 CO.jpeg" xr:uid="{27B12ACC-D029-423D-BCC9-65414535981B}"/>
    <hyperlink ref="B116" r:id="rId173" display="Pagamentos\E106 - E107 CO.jpeg" xr:uid="{5ACBAEC5-4E0A-4906-BF4B-FDC8DF680146}"/>
    <hyperlink ref="B114" r:id="rId174" display="Pagamentos\E103 - E104 CO.jpeg" xr:uid="{03697087-BC50-44FE-81A8-095236CFB341}"/>
    <hyperlink ref="B113" r:id="rId175" display="Pagamentos\E103 - E104 CO.jpeg" xr:uid="{BFEEC280-2F71-4F77-B62A-07C7C60C370C}"/>
    <hyperlink ref="B112" r:id="rId176" display="Pagamentos\E99 - E100 - E101 - E102 CO.jpeg" xr:uid="{250A19D3-9F66-4EC4-BECE-AC4E55FF78DC}"/>
    <hyperlink ref="B111" r:id="rId177" display="Pagamentos\E99 - E100 - E101 - E102 CO.jpeg" xr:uid="{2B57B88E-3E27-4F19-B86B-14A6BB1B7D88}"/>
    <hyperlink ref="B110" r:id="rId178" display="Pagamentos\E99 - E100 - E101 - E102 CO.jpeg" xr:uid="{27B2FAC4-DDB1-4604-A099-49D1F8E8C372}"/>
    <hyperlink ref="B109" r:id="rId179" display="Pagamentos\E99 - E100 - E101 - E102 CO.jpeg" xr:uid="{9EED90E5-FD37-4E94-B0F1-91A4E92A3D4C}"/>
    <hyperlink ref="B108" r:id="rId180" display="Pagamentos\E97 - E98 CO.jpeg" xr:uid="{92F99FEF-86DF-4AE8-979A-D338C815B3F1}"/>
    <hyperlink ref="B107" r:id="rId181" display="Pagamentos\E97 - E98 CO.jpeg" xr:uid="{8FEBB8D8-7926-4CA3-AD60-7DCA0309F216}"/>
    <hyperlink ref="B106" r:id="rId182" display="Pagamentos\E95 - E96 CO.jpeg" xr:uid="{2FEB1008-F299-4B53-BF54-94039CF35D70}"/>
    <hyperlink ref="B105" r:id="rId183" display="Pagamentos\E95 - E96 CO.jpeg" xr:uid="{EE71F445-C524-459F-B9CD-87CB52CEB2BE}"/>
    <hyperlink ref="B104" r:id="rId184" display="Pagamentos\E93 - E94 CO.jpeg" xr:uid="{3D5365DD-5F6D-4032-8DAE-5419BBC76822}"/>
    <hyperlink ref="B103" r:id="rId185" display="Pagamentos\E93 - E94 CO.jpeg" xr:uid="{F4D502EE-A194-4D94-ADB7-EBAC72A4311D}"/>
    <hyperlink ref="B102" r:id="rId186" display="Pagamentos\E91 - E92 CO.pdf" xr:uid="{92F951EC-8119-4296-90F4-C971EFFEA0F2}"/>
    <hyperlink ref="B101" r:id="rId187" display="Pagamentos\E91 - E92 CO.pdf" xr:uid="{057F4B55-1731-4EC6-B487-38F9DF064CD5}"/>
    <hyperlink ref="B100" r:id="rId188" display="Pagamentos\E89 - E90 CO.jpeg" xr:uid="{6A7772CB-45B0-4116-9951-DE702539895D}"/>
    <hyperlink ref="B99" r:id="rId189" display="Pagamentos\E89 - E90 CO.jpeg" xr:uid="{3B2030EB-1C9C-4C95-9C9F-5A830EACB2F4}"/>
    <hyperlink ref="B98" r:id="rId190" display="Pagamentos\E87 - E88 CO.pdf" xr:uid="{5A86235E-7878-45AD-B04C-B4099D4DA8C0}"/>
    <hyperlink ref="B97" r:id="rId191" display="Pagamentos\E87 - E88 CO.pdf" xr:uid="{F0CF558B-646E-48D7-B7A5-0446663CF7F7}"/>
    <hyperlink ref="B96" r:id="rId192" display="Pagamentos\E85 - E86 CO.jpeg" xr:uid="{2791C24F-E55D-4DDA-9E19-40700FF83191}"/>
    <hyperlink ref="B95" r:id="rId193" display="Pagamentos\E85 - E86 CO.jpeg" xr:uid="{7CB8E1A3-BC21-4883-BCAD-3C6463EF2E96}"/>
    <hyperlink ref="B94" r:id="rId194" display="Pagamentos\E83 - E84 CO.jpeg" xr:uid="{5BCF7F4D-5A35-4018-9A8B-29465B870356}"/>
    <hyperlink ref="B93" r:id="rId195" display="Pagamentos\E83 - E84 CO.jpeg" xr:uid="{7D0F9D22-8317-4EC5-B8F8-597EA91E25C2}"/>
    <hyperlink ref="B92" r:id="rId196" display="Pagamentos\E81 - E82 CO.jpeg" xr:uid="{2A255BED-BCC0-40EB-A87B-79F54EF9F274}"/>
    <hyperlink ref="B91" r:id="rId197" display="Pagamentos\E81 - E82 CO.jpeg" xr:uid="{FBA88666-C972-4483-8452-D2146087C8B1}"/>
    <hyperlink ref="B90" r:id="rId198" display="Pagamentos\E79 - E80.jpeg" xr:uid="{2F07F512-6D11-428C-BF75-50BD43ED35B0}"/>
    <hyperlink ref="B89" r:id="rId199" display="Pagamentos\E79 - E80.jpeg" xr:uid="{D5CAB6FA-9E55-499A-8909-DEC160585B00}"/>
    <hyperlink ref="B88" r:id="rId200" display="Pagamentos\E77 - E78 CO.pdf" xr:uid="{17A99766-60DA-4EEC-8165-38AF44FB3B99}"/>
    <hyperlink ref="B87" r:id="rId201" display="Pagamentos\E77 - E78 CO.pdf" xr:uid="{2118F0CD-D86C-4469-AFE0-26A549263456}"/>
    <hyperlink ref="B84" r:id="rId202" display="Pagamentos\E73 - E74 CO.pdf" xr:uid="{3B3CE5E1-0FD9-4B80-8B69-31E58FF0368A}"/>
    <hyperlink ref="B83" r:id="rId203" display="Pagamentos\E73 - E74 CO.pdf" xr:uid="{9F325799-0060-40D5-988A-E6D6E8207B7B}"/>
    <hyperlink ref="B81" r:id="rId204" display="Pagamentos\E70 - E71.pdf" xr:uid="{5F022710-CED1-4AD1-8E2D-8F05E56BDB12}"/>
    <hyperlink ref="B80" r:id="rId205" display="Pagamentos\E70 - E71.pdf" xr:uid="{8E90974F-1E55-4BA3-B894-4A52850430BC}"/>
    <hyperlink ref="B85" r:id="rId206" display="Pagamentos\E69 - E75 CO.jpeg" xr:uid="{8AF75D89-C958-489B-AB7D-768FB826998F}"/>
    <hyperlink ref="B79" r:id="rId207" display="Pagamentos\E69 - E75 CO.jpeg" xr:uid="{B24FDB25-B43E-4245-B4E1-33078D819502}"/>
    <hyperlink ref="B82" r:id="rId208" display="Pagamentos\E67 - E72 CO.jpeg" xr:uid="{CCBCEC0E-CAE3-4EFC-B38A-B38C45BB997B}"/>
    <hyperlink ref="B77" r:id="rId209" display="Pagamentos\E67 - E72 CO.jpeg" xr:uid="{FB828F5D-A66F-48AD-8BB8-1C889359A5A8}"/>
    <hyperlink ref="B76" r:id="rId210" display="Pagamentos\E65 - E66 CO.jpeg" xr:uid="{0A0B72D4-6B5E-488F-8372-7AF810F4F816}"/>
    <hyperlink ref="B75" r:id="rId211" display="Pagamentos\E65 - E66 CO.jpeg" xr:uid="{408FA024-698F-4FD8-9B21-148E733061C3}"/>
    <hyperlink ref="B73" r:id="rId212" display="Pagamentos\E60 - E61 - E62 - E63 CO.pdf" xr:uid="{A907E093-C277-4913-B398-2EBB89928C6F}"/>
    <hyperlink ref="B72" r:id="rId213" display="Pagamentos\E60 - E61 - E62 - E63 CO.pdf" xr:uid="{DA4B90F1-3303-485A-8E2E-DD33A1301930}"/>
    <hyperlink ref="B71" r:id="rId214" display="Pagamentos\E60 - E61 - E62 - E63 CO.pdf" xr:uid="{D917DA7D-8CED-46AE-8FD7-7F994A947EDF}"/>
    <hyperlink ref="B70" r:id="rId215" display="Pagamentos\E60 - E61 - E62 - E63 CO.pdf" xr:uid="{A6820FC0-4D12-4067-8182-44ADA81174E7}"/>
    <hyperlink ref="B78" r:id="rId216" display="Pagamentos\E58 - E68 CO.pdf" xr:uid="{A36832CA-A9BD-4742-83B0-D1468C7B9B28}"/>
    <hyperlink ref="B68" r:id="rId217" display="Pagamentos\E58 - E68 CO.pdf" xr:uid="{A5214DA0-B89C-438C-9F16-E6A9EFCD5CC2}"/>
    <hyperlink ref="B67" r:id="rId218" display="Pagamentos\E57 CO.jpeg" xr:uid="{855B8127-2989-42F6-85F7-3C043A03A138}"/>
    <hyperlink ref="B66" r:id="rId219" display="Pagamentos\E55 - E56 CO.pdf" xr:uid="{0259073B-2985-4DB2-9CA2-55EA9BEE57C6}"/>
    <hyperlink ref="B65" r:id="rId220" display="Pagamentos\E55 - E56 CO.pdf" xr:uid="{3024DCE8-28FE-4543-B2B3-0A77DF74B779}"/>
    <hyperlink ref="B86" r:id="rId221" display="Pagamentos\E54 - E76 CO.pdf" xr:uid="{F1818E90-EB73-478B-97A3-C73BC4337131}"/>
    <hyperlink ref="B64" r:id="rId222" display="Pagamentos\E54 - E76 CO.pdf" xr:uid="{D29001CA-4AE7-4B39-98D4-16E7E49E36C9}"/>
    <hyperlink ref="B147" r:id="rId223" display="Pagamentos\E53 - E59 - E137 CO.pdf" xr:uid="{5A5BA546-032D-4006-83AD-8ECB91E88388}"/>
    <hyperlink ref="B69" r:id="rId224" display="Pagamentos\E53 - E59 - E137 CO.pdf" xr:uid="{6AE1E9AA-5A82-4FC1-AA57-C09D4A09F59F}"/>
    <hyperlink ref="B63" r:id="rId225" display="Pagamentos\E53 - E59 - E137 CO.pdf" xr:uid="{063ACFB2-0CF9-4D88-B2C3-5E63BC5189B7}"/>
    <hyperlink ref="B62" r:id="rId226" display="Pagamentos\E50 - E52 CO.pdf" xr:uid="{9DB160A1-419D-499F-AD57-FB15EE6F7437}"/>
    <hyperlink ref="B60" r:id="rId227" display="Pagamentos\E50 - E52 CO.pdf" xr:uid="{B3A44965-20F6-4DF1-A9AB-FF8730FE6AD3}"/>
    <hyperlink ref="B61" r:id="rId228" display="Pagamentos\E49 - E51 CO.jpeg" xr:uid="{7472BC6E-7807-4884-BDAE-ADD6F59522DA}"/>
    <hyperlink ref="B59" r:id="rId229" display="Pagamentos\E49 - E51 CO.jpeg" xr:uid="{2BF64545-FA12-4B97-AF4E-894F3A97DD8D}"/>
    <hyperlink ref="B58" r:id="rId230" display="Pagamentos\E47 - E48 CO.pdf" xr:uid="{0E27C7DD-D174-4DA8-B460-B88FD7A7B545}"/>
    <hyperlink ref="B57" r:id="rId231" display="Pagamentos\E47 - E48 CO.pdf" xr:uid="{91B35BA7-6F5F-41C6-9ED1-6DE433878B86}"/>
    <hyperlink ref="B56" r:id="rId232" display="Pagamentos\E46 CO.jpeg" xr:uid="{DB43292E-8B41-4AB2-B3B0-A169A55202C6}"/>
    <hyperlink ref="B55" r:id="rId233" display="Pagamentos\E45 CO.jpeg" xr:uid="{1F330E44-CBF2-4D9A-8885-2DA833C2D500}"/>
    <hyperlink ref="B54" r:id="rId234" display="Pagamentos\E43 - E44 CO.pdf" xr:uid="{D784D7B7-6B5F-4410-95AA-2C309C97C325}"/>
    <hyperlink ref="B53" r:id="rId235" display="Pagamentos\E43 - E44 CO.pdf" xr:uid="{0EC5DD65-4ACB-4B0B-AF2D-6A9FF4657220}"/>
    <hyperlink ref="B52" r:id="rId236" display="Pagamentos\E41 - E42 CO.pdf" xr:uid="{E6FC7FA8-796B-4091-92A7-4B60F5D89FA0}"/>
    <hyperlink ref="B51" r:id="rId237" display="Pagamentos\E41 - E42 CO.pdf" xr:uid="{9B29A4AF-9E56-4398-86C7-C11120B018CA}"/>
    <hyperlink ref="B50" r:id="rId238" display="Pagamentos\E39 - E40 CO.pdf" xr:uid="{70B1F448-1ED4-4096-BF32-40E36668F054}"/>
    <hyperlink ref="B49" r:id="rId239" display="Pagamentos\E39 - E40 CO.pdf" xr:uid="{E5603D46-F738-43A9-9B75-2775502965F2}"/>
    <hyperlink ref="B48" r:id="rId240" display="Pagamentos\E37 - E38 CO.pdf" xr:uid="{964CB1EF-393A-4A76-B906-72CDCA32CAB3}"/>
    <hyperlink ref="B47" r:id="rId241" display="Pagamentos\E37 - E38 CO.pdf" xr:uid="{D184B463-A33D-43F2-8B6A-47D33EC851D2}"/>
    <hyperlink ref="B46" r:id="rId242" display="Pagamentos\E35 - E36 CO.pdf" xr:uid="{3A36CA75-BDDC-4418-9751-FDB1CCC39A3A}"/>
    <hyperlink ref="B45" r:id="rId243" display="Pagamentos\E35 - E36 CO.pdf" xr:uid="{83BB901F-CB05-48E1-BD2B-A24E42331CBB}"/>
    <hyperlink ref="B44" r:id="rId244" display="Pagamentos\E32 - E34 CO.jpeg" xr:uid="{D82E123D-14FD-420B-B76A-B61D8951DCE4}"/>
    <hyperlink ref="B42" r:id="rId245" display="Pagamentos\E32 - E34 CO.jpeg" xr:uid="{46BC3A2B-EA38-416F-83E5-BD774A415AF8}"/>
    <hyperlink ref="B43" r:id="rId246" display="Pagamentos\E31 - E33 CO.pdf" xr:uid="{B9076D53-8BD7-49AD-A1E5-8BCEDDEB7791}"/>
    <hyperlink ref="B41" r:id="rId247" display="Pagamentos\E31 - E33 CO.pdf" xr:uid="{1A6A4644-3353-4E28-9044-31362901307E}"/>
    <hyperlink ref="B40" r:id="rId248" display="Pagamentos\E29 - E30 CO.pdf" xr:uid="{8025F9C0-09D8-44B8-8960-F177D1CE0A05}"/>
    <hyperlink ref="B39" r:id="rId249" display="Pagamentos\E29 - E30 CO.pdf" xr:uid="{DA8AAA29-1EEE-45C7-A923-B5DDF2DEFE7C}"/>
    <hyperlink ref="B38" r:id="rId250" display="Pagamentos\E27 - E28 CO.pdf" xr:uid="{3A591A70-2622-4664-823E-77D6A6D9AEEB}"/>
    <hyperlink ref="B37" r:id="rId251" display="Pagamentos\E27 - E28 CO.pdf" xr:uid="{A1FC5C92-E265-420D-9BF1-DFA382261B56}"/>
    <hyperlink ref="B35" r:id="rId252" display="Pagamentos\E24 - E25 CO.jpeg" xr:uid="{6ED396A3-54F3-4DD6-9C82-2CF587D86662}"/>
    <hyperlink ref="B34" r:id="rId253" display="Pagamentos\E24 - E25 CO.jpeg" xr:uid="{B5AF701D-05C7-4A57-A9CF-0510976F9863}"/>
    <hyperlink ref="B33" r:id="rId254" display="Pagamentos\E20 - E21 - E22 - E23 CO.jpeg" xr:uid="{4D134171-5530-487F-B524-3E46F6C685D9}"/>
    <hyperlink ref="B32" r:id="rId255" display="Pagamentos\E20 - E21 - E22 - E23 CO.jpeg" xr:uid="{7C635E14-D3C8-45C8-A1D6-EAB5DB2A3F92}"/>
    <hyperlink ref="B31" r:id="rId256" display="Pagamentos\E20 - E21 - E22 - E23 CO.jpeg" xr:uid="{660C01EB-F07A-4175-B740-A89E525C4379}"/>
    <hyperlink ref="B30" r:id="rId257" display="Pagamentos\E20 - E21 - E22 - E23 CO.jpeg" xr:uid="{F00C0DEE-B2C8-44F7-B4C0-4E5475470E2A}"/>
    <hyperlink ref="B36" r:id="rId258" display="Pagamentos\E19 - E26 CO.jpeg" xr:uid="{F2908D6D-B362-44F2-8A99-499D12A525C4}"/>
    <hyperlink ref="B29" r:id="rId259" display="Pagamentos\E19 - E26 CO.jpeg" xr:uid="{B52C4559-956D-43D9-AD46-FBFE93DDF283}"/>
    <hyperlink ref="B28" r:id="rId260" display="Pagamentos\E16 - E18 CO.pdf" xr:uid="{315D504D-ED58-4487-9629-D13F827C63B9}"/>
    <hyperlink ref="B26" r:id="rId261" display="Pagamentos\E16 - E18 CO.pdf" xr:uid="{52E5A0B0-518C-44C1-BC0F-9E2DB18CFC1F}"/>
    <hyperlink ref="B27" r:id="rId262" display="Pagamentos\E15 - E17 CO.jpeg" xr:uid="{141F347F-08DC-4B4F-BB6E-F285821AE9D3}"/>
    <hyperlink ref="B25" r:id="rId263" display="Pagamentos\E15 - E17 CO.jpeg" xr:uid="{53C82A1E-8CA0-46FF-A0B2-0F7E00A204C6}"/>
    <hyperlink ref="B24" r:id="rId264" display="Pagamentos\E13 - E14 CO.pdf" xr:uid="{B5A95518-3C18-4916-AB26-6843A97C5C3F}"/>
    <hyperlink ref="B23" r:id="rId265" display="Pagamentos\E13 - E14 CO.pdf" xr:uid="{4061E4A4-75F0-4881-9DD2-72662783CBF5}"/>
    <hyperlink ref="B22" r:id="rId266" display="Pagamentos\E11 - E12 CO.pdf" xr:uid="{1CA4D4F0-0ABD-457C-8C14-E25422BAF028}"/>
    <hyperlink ref="B21" r:id="rId267" display="Pagamentos\E11 - E12 CO.pdf" xr:uid="{5C286DA5-91DC-4434-9AFB-B0194C110AFB}"/>
    <hyperlink ref="B20" r:id="rId268" display="Pagamentos\E9 - E10 CO.pdf" xr:uid="{E2141BE0-A703-4A51-B32F-B9B137070070}"/>
    <hyperlink ref="B19" r:id="rId269" display="Pagamentos\E9 - E10 CO.pdf" xr:uid="{5F5B281E-CB15-4970-B3C0-0B1ED981005D}"/>
    <hyperlink ref="B18" r:id="rId270" display="Pagamentos\E7 - E8 CO.pdf" xr:uid="{932DC8B3-144E-40DA-9FA1-03BD9C57C468}"/>
    <hyperlink ref="B17" r:id="rId271" display="Pagamentos\E7 - E8 CO.pdf" xr:uid="{5204763C-7161-46B0-B7DF-77DE63FBE833}"/>
    <hyperlink ref="B16" r:id="rId272" display="Pagamentos\E5 - E6 CO.png" xr:uid="{FD1B3333-9621-47C8-95EE-4E3B36E9BFEB}"/>
    <hyperlink ref="B15" r:id="rId273" display="Pagamentos\E5 - E6 CO.png" xr:uid="{1AFBDDE1-5FB9-48F2-9AE2-D99BB1EDC30B}"/>
    <hyperlink ref="B14" r:id="rId274" display="Pagamentos\E3 - E4 CO.pdf" xr:uid="{2402CF3D-B1E5-4475-94C2-64B3B5891BFD}"/>
    <hyperlink ref="B13" r:id="rId275" display="Pagamentos\E3 - E4 CO.pdf" xr:uid="{4CAC6A14-4A47-46B4-8CB3-7036D60A4184}"/>
    <hyperlink ref="B12" r:id="rId276" display="Pagamentos\E1 - E2 CO.pdf" xr:uid="{E24905F3-9536-4A83-8950-5A3FC68CA037}"/>
    <hyperlink ref="B11" r:id="rId277" display="Pagamentos\E1 - E2 CO.pdf" xr:uid="{4536CB7A-221E-46A5-ADCB-60677CB32235}"/>
    <hyperlink ref="B332:B333" r:id="rId278" display="Pagamentos\E322 - E323 CO.jpeg" xr:uid="{3075225B-ED8E-4882-9898-C49D4203147C}"/>
    <hyperlink ref="B334:B335" r:id="rId279" display="Pagamentos\E324 - E325 CO.pdf" xr:uid="{BAFAA964-783E-4AC4-9D82-DD6D5916ED2A}"/>
    <hyperlink ref="B336:B337" r:id="rId280" display="Pagamentos\E326 - E327 CO.pdf" xr:uid="{A476F208-C9E6-4D40-AE13-BBDB5C27226F}"/>
    <hyperlink ref="B338:B339" r:id="rId281" display="Pagamentos\E328 - E329 CO.jpeg" xr:uid="{6C7F8E00-1407-48F6-BACB-AFBB18E543F2}"/>
    <hyperlink ref="B340:B341" r:id="rId282" display="Pagamentos\E330 - E331 CO.pdf" xr:uid="{A1510119-7683-49BB-9B58-4D8F557562CE}"/>
    <hyperlink ref="B342:B343" r:id="rId283" display="Pagamentos\E332 - E333 CO.pdf" xr:uid="{8540D06A-00C6-43CE-A56A-F3E82DE10350}"/>
    <hyperlink ref="B344:B345" r:id="rId284" display="Pagamentos\E334 - E335 CO.pdf" xr:uid="{82D903B8-1C21-4022-B8E2-39FF4E6AC3C5}"/>
    <hyperlink ref="B346:B348" r:id="rId285" display="Pagamentos\E336 - E337 - 338 CO.pdf" xr:uid="{6E41583F-C475-4EB5-AFCB-7F9FA46ADEE9}"/>
    <hyperlink ref="B349:B350" r:id="rId286" display="Pagamentos\E339 - E340 CO.pdf" xr:uid="{E585A837-22E9-4F24-917D-C2F247CC17ED}"/>
    <hyperlink ref="B351:B355" r:id="rId287" display="Pagamentos\E341 - E342 - E343 - E344 - E345 CO.pdf" xr:uid="{6582EF1B-903E-4E8F-9356-41BCF25DC7E9}"/>
    <hyperlink ref="B356:B357" r:id="rId288" display="Pagamentos\E346 - E347 CO.png" xr:uid="{61ACC103-4391-4408-8CC7-FEB66C624AF1}"/>
    <hyperlink ref="B358:B359" r:id="rId289" display="Pagamentos\E348 - E349 CO.pdf" xr:uid="{4F6B2A94-7CDA-405C-A066-7E11FA7BA7FA}"/>
    <hyperlink ref="B183" r:id="rId290" display="Pagamentos\E173 - E350 - E351 CO.pdf" xr:uid="{DEB9247E-3DFC-463F-8B02-E3ABE371E5FA}"/>
    <hyperlink ref="B360:B361" r:id="rId291" display="Pagamentos\E173 - E350 - E351 CO.pdf" xr:uid="{AD38271E-D1F5-41AE-9A40-A34F36B9BD8D}"/>
  </hyperlinks>
  <pageMargins left="0" right="0" top="0" bottom="0" header="0" footer="0"/>
  <pageSetup paperSize="9" scale="10" orientation="portrait" r:id="rId292"/>
  <colBreaks count="1" manualBreakCount="1">
    <brk id="17" max="1048575" man="1"/>
  </colBreaks>
  <ignoredErrors>
    <ignoredError sqref="H3" formula="1"/>
  </ignoredErrors>
  <tableParts count="1">
    <tablePart r:id="rId29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penas valores cadastrados." error="------------------------------------------------------_x000a__x000a__x000a_- Para fornecedores, cadastrar na sheet Fornecedores._x000a__x000a_- Para os demais, verificar sheet Listas (Oculta)._x000a__x000a__x000a_------------------------------------------------------" xr:uid="{1CA22BBA-C79A-45C9-A574-7802938A8338}">
          <x14:formula1>
            <xm:f>IF(E11="salários",INDIRECT(RH!$B$5),IF(E11="Rescisão",INDIRECT(RH!$B$5),IF(C11="Despesa",INDIRECT(Fornecedores!$B$5),INDIRECT(Listas!$X$1))))</xm:f>
          </x14:formula1>
          <xm:sqref>I11:I361</xm:sqref>
        </x14:dataValidation>
        <x14:dataValidation type="list" allowBlank="1" showInputMessage="1" showErrorMessage="1" xr:uid="{FD4B0543-7F3E-4F85-9140-5251C2188026}">
          <x14:formula1>
            <xm:f>IF(C11="Despesa",INDIRECT(Listas!$W$1),IF(C11="Receita",INDIRECT(Unidades!$A$4),IF(E11="Sócio",INDIRECT(Dashboard!$B$65),IF(E11="investidor",INDIRECT(Listas!$O$9),INDIRECT(Listas!$M$9)))))</xm:f>
          </x14:formula1>
          <xm:sqref>H11:H361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225F-F97D-4791-A362-F2587463ED9A}">
  <sheetPr>
    <tabColor rgb="FFFF0000"/>
  </sheetPr>
  <dimension ref="G13:Q34"/>
  <sheetViews>
    <sheetView showGridLines="0" topLeftCell="B10" zoomScale="140" zoomScaleNormal="140" workbookViewId="0">
      <selection activeCell="J21" sqref="J21"/>
    </sheetView>
  </sheetViews>
  <sheetFormatPr defaultRowHeight="14.5" x14ac:dyDescent="0.35"/>
  <cols>
    <col min="15" max="15" width="31.26953125" bestFit="1" customWidth="1"/>
    <col min="16" max="16" width="12.54296875" customWidth="1"/>
    <col min="17" max="17" width="11.81640625" customWidth="1"/>
  </cols>
  <sheetData>
    <row r="13" spans="15:17" x14ac:dyDescent="0.35">
      <c r="O13" s="249" t="s">
        <v>508</v>
      </c>
      <c r="P13" s="251">
        <v>15.8</v>
      </c>
      <c r="Q13" s="254" t="s">
        <v>523</v>
      </c>
    </row>
    <row r="14" spans="15:17" x14ac:dyDescent="0.35">
      <c r="O14" s="249" t="s">
        <v>450</v>
      </c>
      <c r="P14" s="252">
        <v>17.64</v>
      </c>
      <c r="Q14" s="254" t="s">
        <v>523</v>
      </c>
    </row>
    <row r="15" spans="15:17" x14ac:dyDescent="0.35">
      <c r="O15" s="249" t="s">
        <v>509</v>
      </c>
      <c r="P15" s="252">
        <v>14</v>
      </c>
      <c r="Q15" s="254" t="s">
        <v>523</v>
      </c>
    </row>
    <row r="16" spans="15:17" x14ac:dyDescent="0.35">
      <c r="O16" s="249" t="s">
        <v>510</v>
      </c>
      <c r="P16" s="251">
        <v>10.199999999999999</v>
      </c>
      <c r="Q16" s="254" t="s">
        <v>523</v>
      </c>
    </row>
    <row r="17" spans="7:16" s="200" customFormat="1" x14ac:dyDescent="0.35">
      <c r="O17" s="250" t="s">
        <v>515</v>
      </c>
      <c r="P17" s="252"/>
    </row>
    <row r="18" spans="7:16" s="200" customFormat="1" x14ac:dyDescent="0.35">
      <c r="G18" s="200" t="s">
        <v>63</v>
      </c>
      <c r="H18" s="192">
        <v>732.21</v>
      </c>
      <c r="O18" s="250" t="s">
        <v>516</v>
      </c>
      <c r="P18" s="252"/>
    </row>
    <row r="19" spans="7:16" s="200" customFormat="1" x14ac:dyDescent="0.35">
      <c r="H19" s="200">
        <v>313.5</v>
      </c>
      <c r="O19" s="250" t="s">
        <v>517</v>
      </c>
      <c r="P19" s="252"/>
    </row>
    <row r="20" spans="7:16" x14ac:dyDescent="0.35">
      <c r="H20" s="192">
        <v>2054.6799999999998</v>
      </c>
      <c r="O20" s="249" t="s">
        <v>455</v>
      </c>
      <c r="P20" s="252"/>
    </row>
    <row r="21" spans="7:16" s="200" customFormat="1" x14ac:dyDescent="0.35">
      <c r="H21" s="200">
        <v>198.74</v>
      </c>
      <c r="O21" s="250" t="s">
        <v>518</v>
      </c>
      <c r="P21" s="252"/>
    </row>
    <row r="22" spans="7:16" s="200" customFormat="1" x14ac:dyDescent="0.35">
      <c r="H22" s="200">
        <v>813.25</v>
      </c>
      <c r="O22" s="250" t="s">
        <v>519</v>
      </c>
      <c r="P22" s="252"/>
    </row>
    <row r="23" spans="7:16" s="200" customFormat="1" x14ac:dyDescent="0.35">
      <c r="H23" s="200">
        <v>1387.54</v>
      </c>
      <c r="O23" s="250" t="s">
        <v>520</v>
      </c>
      <c r="P23" s="252"/>
    </row>
    <row r="24" spans="7:16" x14ac:dyDescent="0.35">
      <c r="J24">
        <v>2713.03</v>
      </c>
      <c r="O24" s="249" t="s">
        <v>454</v>
      </c>
      <c r="P24" s="252">
        <v>11.5</v>
      </c>
    </row>
    <row r="25" spans="7:16" x14ac:dyDescent="0.35">
      <c r="O25" s="249" t="s">
        <v>522</v>
      </c>
      <c r="P25" s="252">
        <v>10</v>
      </c>
    </row>
    <row r="26" spans="7:16" x14ac:dyDescent="0.35">
      <c r="O26" s="249" t="s">
        <v>511</v>
      </c>
      <c r="P26" s="252">
        <v>3.5</v>
      </c>
    </row>
    <row r="27" spans="7:16" x14ac:dyDescent="0.35">
      <c r="O27" s="249" t="s">
        <v>512</v>
      </c>
      <c r="P27" s="252">
        <v>1.5</v>
      </c>
    </row>
    <row r="28" spans="7:16" x14ac:dyDescent="0.35">
      <c r="O28" s="249" t="s">
        <v>513</v>
      </c>
      <c r="P28" s="252">
        <v>2</v>
      </c>
    </row>
    <row r="29" spans="7:16" x14ac:dyDescent="0.35">
      <c r="O29" s="249" t="s">
        <v>23</v>
      </c>
      <c r="P29" s="252">
        <v>13</v>
      </c>
    </row>
    <row r="30" spans="7:16" s="200" customFormat="1" x14ac:dyDescent="0.35">
      <c r="O30" s="249" t="s">
        <v>521</v>
      </c>
      <c r="P30" s="252">
        <v>2</v>
      </c>
    </row>
    <row r="31" spans="7:16" x14ac:dyDescent="0.35">
      <c r="P31" s="253"/>
    </row>
    <row r="32" spans="7:16" x14ac:dyDescent="0.35">
      <c r="O32" s="249" t="s">
        <v>514</v>
      </c>
      <c r="P32" s="252"/>
    </row>
    <row r="34" spans="16:16" x14ac:dyDescent="0.35">
      <c r="P34" s="52">
        <f>SUM(P13:P32)</f>
        <v>101.14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E6F6-9BFB-4664-9805-F4A180743CD7}">
  <sheetPr>
    <tabColor rgb="FFFF0000"/>
  </sheetPr>
  <dimension ref="A1:J20"/>
  <sheetViews>
    <sheetView showGridLines="0" topLeftCell="A4" zoomScale="130" zoomScaleNormal="130" workbookViewId="0">
      <selection activeCell="E21" sqref="E21"/>
    </sheetView>
  </sheetViews>
  <sheetFormatPr defaultColWidth="0" defaultRowHeight="14.5" x14ac:dyDescent="0.35"/>
  <cols>
    <col min="1" max="1" width="2.81640625" style="200" customWidth="1"/>
    <col min="2" max="2" width="20.1796875" style="52" bestFit="1" customWidth="1"/>
    <col min="3" max="6" width="15.81640625" customWidth="1"/>
    <col min="7" max="7" width="3.1796875" customWidth="1"/>
    <col min="8" max="10" width="0" hidden="1" customWidth="1"/>
    <col min="11" max="16384" width="8.7265625" hidden="1"/>
  </cols>
  <sheetData>
    <row r="1" spans="2:10" s="200" customFormat="1" ht="44.5" customHeight="1" x14ac:dyDescent="0.35">
      <c r="B1" s="315" t="s">
        <v>491</v>
      </c>
      <c r="C1" s="316"/>
      <c r="D1" s="316"/>
      <c r="E1" s="316"/>
      <c r="F1" s="317"/>
    </row>
    <row r="2" spans="2:10" ht="27.65" customHeight="1" x14ac:dyDescent="0.35">
      <c r="B2" s="312" t="s">
        <v>494</v>
      </c>
      <c r="C2" s="313"/>
      <c r="D2" s="313"/>
      <c r="E2" s="313"/>
      <c r="F2" s="314"/>
    </row>
    <row r="4" spans="2:10" x14ac:dyDescent="0.35">
      <c r="B4" s="204" t="s">
        <v>487</v>
      </c>
      <c r="C4" s="199" t="s">
        <v>103</v>
      </c>
    </row>
    <row r="5" spans="2:10" x14ac:dyDescent="0.35">
      <c r="B5" s="204" t="s">
        <v>489</v>
      </c>
      <c r="C5" s="52" t="s">
        <v>62</v>
      </c>
      <c r="D5" s="52" t="s">
        <v>89</v>
      </c>
      <c r="E5" s="52" t="s">
        <v>56</v>
      </c>
      <c r="F5" s="52" t="s">
        <v>488</v>
      </c>
    </row>
    <row r="6" spans="2:10" x14ac:dyDescent="0.35">
      <c r="B6" s="203" t="s">
        <v>490</v>
      </c>
      <c r="C6" s="206">
        <v>0</v>
      </c>
      <c r="D6" s="206">
        <v>0</v>
      </c>
      <c r="E6" s="206">
        <v>0</v>
      </c>
      <c r="F6" s="206">
        <v>0</v>
      </c>
    </row>
    <row r="7" spans="2:10" x14ac:dyDescent="0.35">
      <c r="B7" s="203">
        <v>43952</v>
      </c>
      <c r="C7" s="206">
        <v>40</v>
      </c>
      <c r="D7" s="206">
        <v>0</v>
      </c>
      <c r="E7" s="206">
        <v>-40</v>
      </c>
      <c r="F7" s="206">
        <v>0</v>
      </c>
    </row>
    <row r="8" spans="2:10" x14ac:dyDescent="0.35">
      <c r="B8" s="203">
        <v>44044</v>
      </c>
      <c r="C8" s="206">
        <v>243.39</v>
      </c>
      <c r="D8" s="206">
        <v>0</v>
      </c>
      <c r="E8" s="206">
        <v>-243.39</v>
      </c>
      <c r="F8" s="206">
        <v>0</v>
      </c>
    </row>
    <row r="9" spans="2:10" x14ac:dyDescent="0.35">
      <c r="B9" s="203">
        <v>44075</v>
      </c>
      <c r="C9" s="206">
        <v>5173.49</v>
      </c>
      <c r="D9" s="206">
        <v>0</v>
      </c>
      <c r="E9" s="206">
        <v>-5173.49</v>
      </c>
      <c r="F9" s="206">
        <v>0</v>
      </c>
    </row>
    <row r="10" spans="2:10" x14ac:dyDescent="0.35">
      <c r="B10" s="203">
        <v>44105</v>
      </c>
      <c r="C10" s="206">
        <v>37810.120000000003</v>
      </c>
      <c r="D10" s="206">
        <v>0</v>
      </c>
      <c r="E10" s="206">
        <v>-37810.120000000003</v>
      </c>
      <c r="F10" s="206">
        <v>0</v>
      </c>
      <c r="J10" s="202"/>
    </row>
    <row r="11" spans="2:10" x14ac:dyDescent="0.35">
      <c r="B11" s="203">
        <v>44136</v>
      </c>
      <c r="C11" s="206">
        <v>59442.119999999995</v>
      </c>
      <c r="D11" s="206">
        <v>1000</v>
      </c>
      <c r="E11" s="206">
        <v>-59342.119999999995</v>
      </c>
      <c r="F11" s="206">
        <v>1100</v>
      </c>
    </row>
    <row r="12" spans="2:10" x14ac:dyDescent="0.35">
      <c r="B12" s="203">
        <v>44166</v>
      </c>
      <c r="C12" s="206">
        <v>83357.810000000012</v>
      </c>
      <c r="D12" s="206">
        <v>0</v>
      </c>
      <c r="E12" s="206">
        <v>-84457.800000000017</v>
      </c>
      <c r="F12" s="206">
        <v>-1099.9900000000052</v>
      </c>
    </row>
    <row r="13" spans="2:10" x14ac:dyDescent="0.35">
      <c r="B13" s="203">
        <v>44197</v>
      </c>
      <c r="C13" s="206">
        <v>62603.43</v>
      </c>
      <c r="D13" s="206">
        <v>0</v>
      </c>
      <c r="E13" s="206">
        <v>-62603.43</v>
      </c>
      <c r="F13" s="206">
        <v>0</v>
      </c>
      <c r="I13" s="205"/>
    </row>
    <row r="14" spans="2:10" x14ac:dyDescent="0.35">
      <c r="B14" s="203">
        <v>44228</v>
      </c>
      <c r="C14" s="206">
        <v>62583.439999999995</v>
      </c>
      <c r="D14" s="206">
        <v>0</v>
      </c>
      <c r="E14" s="206">
        <v>-62203.439999999995</v>
      </c>
      <c r="F14" s="206">
        <v>380</v>
      </c>
    </row>
    <row r="15" spans="2:10" x14ac:dyDescent="0.35">
      <c r="B15" s="203">
        <v>44256</v>
      </c>
      <c r="C15" s="206">
        <v>72069.430000000008</v>
      </c>
      <c r="D15" s="206">
        <v>3000</v>
      </c>
      <c r="E15" s="206">
        <v>-72449.430000000008</v>
      </c>
      <c r="F15" s="206">
        <v>2620</v>
      </c>
    </row>
    <row r="16" spans="2:10" x14ac:dyDescent="0.35">
      <c r="B16" s="203">
        <v>44287</v>
      </c>
      <c r="C16" s="206">
        <v>45070.2</v>
      </c>
      <c r="D16" s="206">
        <v>0</v>
      </c>
      <c r="E16" s="206">
        <v>-48070.2</v>
      </c>
      <c r="F16" s="206">
        <v>-3000</v>
      </c>
    </row>
    <row r="17" spans="2:6" x14ac:dyDescent="0.35">
      <c r="B17" s="203">
        <v>44317</v>
      </c>
      <c r="C17" s="206">
        <v>33329.49</v>
      </c>
      <c r="D17" s="206">
        <v>0</v>
      </c>
      <c r="E17" s="206">
        <v>-33329.49</v>
      </c>
      <c r="F17" s="206">
        <v>0</v>
      </c>
    </row>
    <row r="18" spans="2:6" x14ac:dyDescent="0.35">
      <c r="B18" s="203">
        <v>44348</v>
      </c>
      <c r="C18" s="206">
        <v>976.03</v>
      </c>
      <c r="D18" s="206">
        <v>0</v>
      </c>
      <c r="E18" s="206">
        <v>-976.03</v>
      </c>
      <c r="F18" s="206">
        <v>0</v>
      </c>
    </row>
    <row r="19" spans="2:6" x14ac:dyDescent="0.35">
      <c r="B19" s="52" t="s">
        <v>488</v>
      </c>
      <c r="C19" s="201">
        <v>462698.95</v>
      </c>
      <c r="D19" s="201">
        <v>4000</v>
      </c>
      <c r="E19" s="201">
        <v>-466698.94</v>
      </c>
      <c r="F19" s="201">
        <v>9.9999999947613105E-3</v>
      </c>
    </row>
    <row r="20" spans="2:6" x14ac:dyDescent="0.35">
      <c r="B20"/>
    </row>
  </sheetData>
  <mergeCells count="2">
    <mergeCell ref="B2:F2"/>
    <mergeCell ref="B1:F1"/>
  </mergeCells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CE1EA-DEF0-4851-A920-6DE52FA9044F}">
  <sheetPr codeName="Planilha5">
    <tabColor rgb="FF7030A0"/>
  </sheetPr>
  <dimension ref="A1:T8"/>
  <sheetViews>
    <sheetView showGridLines="0" topLeftCell="B1" workbookViewId="0">
      <selection activeCell="E14" sqref="E14"/>
    </sheetView>
  </sheetViews>
  <sheetFormatPr defaultColWidth="0" defaultRowHeight="14.5" outlineLevelCol="1" x14ac:dyDescent="0.35"/>
  <cols>
    <col min="1" max="1" width="15.81640625" style="16" hidden="1" customWidth="1" outlineLevel="1"/>
    <col min="2" max="2" width="11.453125" style="16" customWidth="1" collapsed="1"/>
    <col min="3" max="3" width="16" style="16" customWidth="1"/>
    <col min="4" max="4" width="20.81640625" style="16" customWidth="1"/>
    <col min="5" max="5" width="15.453125" bestFit="1" customWidth="1"/>
    <col min="6" max="6" width="16.453125" style="16" bestFit="1" customWidth="1"/>
    <col min="7" max="7" width="14.54296875" style="16" customWidth="1"/>
    <col min="8" max="8" width="13.7265625" style="16" customWidth="1"/>
    <col min="9" max="9" width="11.54296875" style="16" customWidth="1"/>
    <col min="10" max="10" width="20.54296875" style="16" customWidth="1"/>
    <col min="11" max="11" width="14.453125" style="16" customWidth="1"/>
    <col min="12" max="12" width="12" style="16" bestFit="1" customWidth="1"/>
    <col min="13" max="13" width="20.54296875" style="16" customWidth="1"/>
    <col min="14" max="14" width="3.81640625" style="16" customWidth="1"/>
    <col min="15" max="15" width="9.1796875" hidden="1" customWidth="1"/>
    <col min="16" max="16" width="10.81640625" style="16" hidden="1" customWidth="1"/>
    <col min="17" max="20" width="0" style="16" hidden="1" customWidth="1"/>
    <col min="21" max="16384" width="8.7265625" style="16" hidden="1"/>
  </cols>
  <sheetData>
    <row r="1" spans="1:20" x14ac:dyDescent="0.35">
      <c r="E1" s="200"/>
      <c r="O1" s="200"/>
    </row>
    <row r="2" spans="1:20" ht="23.15" customHeight="1" x14ac:dyDescent="0.35">
      <c r="B2" s="318" t="s">
        <v>502</v>
      </c>
      <c r="C2" s="319"/>
      <c r="D2" s="319"/>
      <c r="E2" s="319"/>
      <c r="F2" s="319"/>
      <c r="G2" s="319"/>
      <c r="H2" s="319"/>
      <c r="I2" s="319"/>
      <c r="J2" s="320"/>
      <c r="K2" s="215"/>
      <c r="L2" s="215"/>
      <c r="M2" s="215"/>
      <c r="N2" s="215"/>
      <c r="O2" s="215"/>
      <c r="P2" s="215"/>
      <c r="Q2" s="215"/>
      <c r="R2" s="215"/>
      <c r="S2" s="215"/>
      <c r="T2" s="216"/>
    </row>
    <row r="3" spans="1:20" ht="23.15" customHeight="1" x14ac:dyDescent="0.35">
      <c r="B3" s="318"/>
      <c r="C3" s="319"/>
      <c r="D3" s="319"/>
      <c r="E3" s="319"/>
      <c r="F3" s="319"/>
      <c r="G3" s="319"/>
      <c r="H3" s="319"/>
      <c r="I3" s="319"/>
      <c r="J3" s="320"/>
      <c r="K3" s="215"/>
      <c r="L3" s="215"/>
      <c r="M3" s="215"/>
      <c r="N3" s="215"/>
      <c r="O3" s="215"/>
      <c r="P3" s="215"/>
      <c r="Q3" s="215"/>
      <c r="R3" s="215"/>
      <c r="S3" s="215"/>
      <c r="T3" s="216"/>
    </row>
    <row r="4" spans="1:20" ht="23.15" customHeight="1" x14ac:dyDescent="0.35">
      <c r="B4" s="321" t="s">
        <v>503</v>
      </c>
      <c r="C4" s="322"/>
      <c r="D4" s="322"/>
      <c r="E4" s="322"/>
      <c r="F4" s="322"/>
      <c r="G4" s="322"/>
      <c r="H4" s="322"/>
      <c r="I4" s="322"/>
      <c r="J4" s="323"/>
      <c r="K4" s="217"/>
      <c r="L4" s="217"/>
      <c r="M4" s="217"/>
      <c r="N4" s="217"/>
      <c r="O4" s="217"/>
      <c r="P4" s="217"/>
      <c r="Q4" s="217"/>
      <c r="R4" s="217"/>
      <c r="S4" s="217"/>
      <c r="T4" s="216"/>
    </row>
    <row r="5" spans="1:20" ht="23.15" customHeight="1" x14ac:dyDescent="0.35">
      <c r="E5" s="16"/>
      <c r="O5" s="16"/>
    </row>
    <row r="6" spans="1:20" x14ac:dyDescent="0.35">
      <c r="A6" s="58" t="s">
        <v>134</v>
      </c>
      <c r="B6" s="60" t="s">
        <v>74</v>
      </c>
      <c r="C6" s="60" t="s">
        <v>106</v>
      </c>
      <c r="D6" s="60" t="s">
        <v>84</v>
      </c>
      <c r="E6" s="60" t="s">
        <v>132</v>
      </c>
      <c r="F6" s="60" t="s">
        <v>128</v>
      </c>
      <c r="G6" s="60" t="s">
        <v>129</v>
      </c>
      <c r="H6" s="60" t="s">
        <v>7</v>
      </c>
      <c r="I6" s="60" t="s">
        <v>133</v>
      </c>
      <c r="J6" s="60" t="s">
        <v>60</v>
      </c>
      <c r="K6" s="60" t="s">
        <v>126</v>
      </c>
      <c r="L6" s="60" t="s">
        <v>127</v>
      </c>
      <c r="M6" s="60" t="s">
        <v>130</v>
      </c>
      <c r="O6" s="16"/>
    </row>
    <row r="7" spans="1:20" ht="14.15" customHeight="1" x14ac:dyDescent="0.35">
      <c r="A7" s="59" t="str">
        <f ca="1">Tabela_Reservas[[#This Row],[Unidade]]&amp;Tabela_Reservas[[#This Row],[Status]]</f>
        <v>U1C5Vigente</v>
      </c>
      <c r="B7" s="61" t="s">
        <v>79</v>
      </c>
      <c r="C7" s="62" t="s">
        <v>301</v>
      </c>
      <c r="D7" s="61"/>
      <c r="E7" s="63"/>
      <c r="F7" s="64">
        <v>44348</v>
      </c>
      <c r="G7" s="64">
        <v>44593</v>
      </c>
      <c r="H7" s="65" t="str">
        <f ca="1">IF(Tabela_Reservas[[#This Row],[Período Inicial]]&gt;Tabela_Reservas[[#This Row],[Período Final]],"Verificar Datas",IF(Tabela_Reservas[[#This Row],[Período Inicial]]="","",IF(AND(TODAY()&gt;=Tabela_Reservas[[#This Row],[Período Inicial]],TODAY()&lt;=Tabela_Reservas[[#This Row],[Período Final]]),"Vigente",IF(TODAY()&lt;Tabela_Reservas[[#This Row],[Período Inicial]],"Futura","Concluída"))))</f>
        <v>Vigente</v>
      </c>
      <c r="I7" s="66" t="str">
        <f ca="1">IF(Tabela_Reservas[[#This Row],[Status]]="Verificar Datas","-",IF(COUNTIFS(Tabela_Reservas[Unidade],Tabela_Reservas[[#This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Final]])=0,"",IF(COUNTIFS(Tabela_Reservas[Unidade],Tabela_Reservas[[#This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Final]])&lt;=2,"OK","Conflito")))</f>
        <v>OK</v>
      </c>
      <c r="J7" s="62" t="s">
        <v>357</v>
      </c>
      <c r="K7" s="67"/>
      <c r="L7" s="68"/>
      <c r="M7" s="68"/>
      <c r="O7" s="16"/>
    </row>
    <row r="8" spans="1:20" x14ac:dyDescent="0.35">
      <c r="A8" s="172" t="str">
        <f ca="1">Tabela_Reservas[[#This Row],[Unidade]]&amp;Tabela_Reservas[[#This Row],[Status]]</f>
        <v>U1C10Vigente</v>
      </c>
      <c r="B8" s="173" t="s">
        <v>174</v>
      </c>
      <c r="C8" s="174" t="s">
        <v>356</v>
      </c>
      <c r="D8" s="173"/>
      <c r="E8" s="175"/>
      <c r="F8" s="176">
        <v>44348</v>
      </c>
      <c r="G8" s="176">
        <v>44958</v>
      </c>
      <c r="H8" s="177" t="str">
        <f ca="1">IF(Tabela_Reservas[[#This Row],[Período Inicial]]&gt;Tabela_Reservas[[#This Row],[Período Final]],"Verificar Datas",IF(Tabela_Reservas[[#This Row],[Período Inicial]]="","",IF(AND(TODAY()&gt;=Tabela_Reservas[[#This Row],[Período Inicial]],TODAY()&lt;=Tabela_Reservas[[#This Row],[Período Final]]),"Vigente",IF(TODAY()&lt;Tabela_Reservas[[#This Row],[Período Inicial]],"Futura","Concluída"))))</f>
        <v>Vigente</v>
      </c>
      <c r="I8" s="178" t="str">
        <f ca="1">IF(Tabela_Reservas[[#This Row],[Status]]="Verificar Datas","-",IF(COUNTIFS(Tabela_Reservas[Unidade],Tabela_Reservas[[#This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Final]])=0,"",IF(COUNTIFS(Tabela_Reservas[Unidade],Tabela_Reservas[[#This Row],[Unidade]],Tabela_Reservas[Período Inicial],"&lt;="&amp;Tabela_Reservas[[#This Row],[Período Inicial]],Tabela_Reservas[Período Final],"&gt;="&amp;Tabela_Reservas[[#This Row],[Período Inicial]])+COUNTIFS(Tabela_Reservas[Unidade],Tabela_Reservas[[#This Row],[Unidade]],Tabela_Reservas[Período Inicial],"&lt;="&amp;Tabela_Reservas[[#This Row],[Período Final]],Tabela_Reservas[Período Final],"&gt;="&amp;Tabela_Reservas[[#This Row],[Período Final]])&lt;=2,"OK","Conflito")))</f>
        <v>OK</v>
      </c>
      <c r="J8" s="174" t="s">
        <v>358</v>
      </c>
      <c r="K8" s="179"/>
      <c r="L8" s="179"/>
      <c r="M8" s="180"/>
    </row>
  </sheetData>
  <mergeCells count="2">
    <mergeCell ref="B2:J3"/>
    <mergeCell ref="B4:J4"/>
  </mergeCells>
  <conditionalFormatting sqref="I7:I8">
    <cfRule type="cellIs" dxfId="135" priority="1" operator="equal">
      <formula>"Conflito"</formula>
    </cfRule>
    <cfRule type="cellIs" dxfId="134" priority="2" operator="equal">
      <formula>"ok"</formula>
    </cfRule>
  </conditionalFormatting>
  <dataValidations disablePrompts="1" count="1">
    <dataValidation type="list" allowBlank="1" showInputMessage="1" showErrorMessage="1" sqref="B7:B8" xr:uid="{0EE372D6-87F2-4B1E-AE0D-6C53D6959C11}">
      <formula1>unidade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F51B3-7056-42E0-9AEA-F66FABC1D505}">
  <sheetPr codeName="Planilha1">
    <tabColor rgb="FF7030A0"/>
  </sheetPr>
  <dimension ref="A1:AI36"/>
  <sheetViews>
    <sheetView showGridLines="0" zoomScale="115" zoomScaleNormal="115" workbookViewId="0">
      <selection activeCell="T6" sqref="T6:W6"/>
    </sheetView>
  </sheetViews>
  <sheetFormatPr defaultColWidth="0" defaultRowHeight="14.5" x14ac:dyDescent="0.35"/>
  <cols>
    <col min="1" max="1" width="10.81640625" style="18" customWidth="1"/>
    <col min="2" max="2" width="1" style="42" customWidth="1"/>
    <col min="3" max="27" width="3.81640625" style="18" customWidth="1"/>
    <col min="28" max="35" width="3.81640625" style="16" customWidth="1"/>
    <col min="36" max="16384" width="3.81640625" style="16" hidden="1"/>
  </cols>
  <sheetData>
    <row r="1" spans="1:32" x14ac:dyDescent="0.35">
      <c r="B1" s="40"/>
      <c r="AB1" s="18"/>
      <c r="AC1" s="18"/>
      <c r="AD1" s="18"/>
      <c r="AE1" s="18"/>
      <c r="AF1" s="18"/>
    </row>
    <row r="2" spans="1:32" x14ac:dyDescent="0.35">
      <c r="A2" s="330" t="s">
        <v>139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U2" s="325" t="s">
        <v>137</v>
      </c>
      <c r="V2" s="325"/>
      <c r="W2" s="325"/>
      <c r="X2" s="325"/>
      <c r="Y2" s="44"/>
      <c r="Z2" s="325" t="s">
        <v>135</v>
      </c>
      <c r="AA2" s="325"/>
      <c r="AB2" s="325"/>
      <c r="AC2" s="325"/>
      <c r="AD2" s="18"/>
      <c r="AE2" s="18"/>
      <c r="AF2" s="18"/>
    </row>
    <row r="3" spans="1:32" ht="14.15" customHeight="1" x14ac:dyDescent="0.35">
      <c r="A3" s="330"/>
      <c r="B3" s="330"/>
      <c r="C3" s="330"/>
      <c r="D3" s="330"/>
      <c r="E3" s="330"/>
      <c r="F3" s="330"/>
      <c r="G3" s="330"/>
      <c r="H3" s="330"/>
      <c r="I3" s="330"/>
      <c r="J3" s="330"/>
      <c r="K3" s="330"/>
      <c r="L3" s="330"/>
      <c r="M3" s="330"/>
      <c r="N3" s="330"/>
      <c r="O3" s="330"/>
      <c r="P3" s="330"/>
      <c r="Q3" s="330"/>
      <c r="R3" s="330"/>
      <c r="S3" s="36"/>
      <c r="T3" s="36"/>
      <c r="U3" s="324"/>
      <c r="V3" s="324"/>
      <c r="W3" s="324"/>
      <c r="X3" s="324"/>
      <c r="Z3" s="326">
        <f>IF(U3&lt;&gt;"",U3,DATE(2020,8,5)+AE3)</f>
        <v>44288</v>
      </c>
      <c r="AA3" s="326"/>
      <c r="AB3" s="326"/>
      <c r="AC3" s="326"/>
      <c r="AD3" s="18"/>
      <c r="AE3" s="74">
        <v>240</v>
      </c>
      <c r="AF3" s="18"/>
    </row>
    <row r="4" spans="1:32" ht="23.15" customHeight="1" x14ac:dyDescent="0.35">
      <c r="A4" s="331" t="s">
        <v>504</v>
      </c>
      <c r="B4" s="332"/>
      <c r="C4" s="332"/>
      <c r="D4" s="332"/>
      <c r="E4" s="332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3"/>
      <c r="S4" s="36"/>
      <c r="T4" s="36"/>
      <c r="U4" s="198"/>
      <c r="V4" s="198"/>
      <c r="W4" s="198"/>
      <c r="X4" s="198"/>
      <c r="Z4" s="214"/>
      <c r="AA4" s="214"/>
      <c r="AB4" s="214"/>
      <c r="AC4" s="214"/>
      <c r="AD4" s="18"/>
      <c r="AE4" s="213"/>
      <c r="AF4" s="18"/>
    </row>
    <row r="5" spans="1:32" ht="14.15" customHeight="1" x14ac:dyDescent="0.35">
      <c r="B5" s="40"/>
      <c r="Z5" s="42"/>
      <c r="AA5" s="42"/>
      <c r="AB5" s="42"/>
      <c r="AC5" s="42"/>
      <c r="AD5" s="18"/>
      <c r="AE5" s="18"/>
      <c r="AF5" s="18"/>
    </row>
    <row r="6" spans="1:32" ht="14.15" customHeight="1" x14ac:dyDescent="0.35">
      <c r="B6" s="40"/>
      <c r="C6" s="325" t="s">
        <v>140</v>
      </c>
      <c r="D6" s="325"/>
      <c r="E6" s="325"/>
      <c r="F6" s="325"/>
      <c r="G6" s="325" t="s">
        <v>141</v>
      </c>
      <c r="H6" s="325"/>
      <c r="I6" s="325"/>
      <c r="J6" s="325"/>
      <c r="K6" s="325" t="s">
        <v>74</v>
      </c>
      <c r="L6" s="325"/>
      <c r="M6" s="325"/>
      <c r="N6" s="325"/>
      <c r="O6" s="325" t="s">
        <v>7</v>
      </c>
      <c r="P6" s="325"/>
      <c r="Q6" s="325"/>
      <c r="R6" s="325"/>
      <c r="T6" s="328"/>
      <c r="U6" s="328"/>
      <c r="V6" s="328"/>
      <c r="W6" s="328"/>
    </row>
    <row r="7" spans="1:32" ht="14.15" customHeight="1" x14ac:dyDescent="0.35">
      <c r="B7" s="40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7" t="str">
        <f>IF(OR(C7="",G7="",K7=""),"",IF(G7&lt;C7,"Verifique Data",IF(COUNTIFS(Tabela_Reservas[Unidade],K7,Tabela_Reservas[Período Inicial],"&lt;="&amp;C7,Tabela_Reservas[Período Final],"&gt;="&amp;C7)+COUNTIFS(Tabela_Reservas[Unidade],K7,Tabela_Reservas[Período Inicial],"&lt;="&amp;G7,Tabela_Reservas[Período Final],"&gt;="&amp;G7)=0,"OK","Conflito")))</f>
        <v/>
      </c>
      <c r="P7" s="327"/>
      <c r="Q7" s="327"/>
      <c r="R7" s="327"/>
      <c r="T7" s="329"/>
      <c r="U7" s="329"/>
      <c r="V7" s="329"/>
      <c r="W7" s="329"/>
    </row>
    <row r="8" spans="1:32" ht="14.15" customHeight="1" x14ac:dyDescent="0.35">
      <c r="B8" s="40"/>
      <c r="AB8" s="18"/>
      <c r="AC8" s="18"/>
      <c r="AD8" s="18"/>
      <c r="AE8" s="18"/>
      <c r="AF8" s="18"/>
    </row>
    <row r="9" spans="1:32" ht="42" customHeight="1" x14ac:dyDescent="0.35">
      <c r="A9" s="72" t="s">
        <v>136</v>
      </c>
      <c r="B9" s="41"/>
      <c r="C9" s="75">
        <f>Z3</f>
        <v>44288</v>
      </c>
      <c r="D9" s="76">
        <f t="shared" ref="D9:P9" si="0">C9+1</f>
        <v>44289</v>
      </c>
      <c r="E9" s="75">
        <f t="shared" si="0"/>
        <v>44290</v>
      </c>
      <c r="F9" s="76">
        <f t="shared" si="0"/>
        <v>44291</v>
      </c>
      <c r="G9" s="75">
        <f t="shared" si="0"/>
        <v>44292</v>
      </c>
      <c r="H9" s="76">
        <f t="shared" si="0"/>
        <v>44293</v>
      </c>
      <c r="I9" s="75">
        <f t="shared" si="0"/>
        <v>44294</v>
      </c>
      <c r="J9" s="76">
        <f t="shared" si="0"/>
        <v>44295</v>
      </c>
      <c r="K9" s="75">
        <f t="shared" si="0"/>
        <v>44296</v>
      </c>
      <c r="L9" s="76">
        <f t="shared" si="0"/>
        <v>44297</v>
      </c>
      <c r="M9" s="75">
        <f t="shared" si="0"/>
        <v>44298</v>
      </c>
      <c r="N9" s="76">
        <f t="shared" si="0"/>
        <v>44299</v>
      </c>
      <c r="O9" s="75">
        <f t="shared" si="0"/>
        <v>44300</v>
      </c>
      <c r="P9" s="76">
        <f t="shared" si="0"/>
        <v>44301</v>
      </c>
      <c r="Q9" s="75">
        <f t="shared" ref="Q9:AA9" si="1">P9+1</f>
        <v>44302</v>
      </c>
      <c r="R9" s="76">
        <f t="shared" si="1"/>
        <v>44303</v>
      </c>
      <c r="S9" s="75">
        <f t="shared" si="1"/>
        <v>44304</v>
      </c>
      <c r="T9" s="76">
        <f t="shared" si="1"/>
        <v>44305</v>
      </c>
      <c r="U9" s="75">
        <f t="shared" si="1"/>
        <v>44306</v>
      </c>
      <c r="V9" s="76">
        <f t="shared" si="1"/>
        <v>44307</v>
      </c>
      <c r="W9" s="75">
        <f t="shared" si="1"/>
        <v>44308</v>
      </c>
      <c r="X9" s="76">
        <f t="shared" si="1"/>
        <v>44309</v>
      </c>
      <c r="Y9" s="75">
        <f t="shared" si="1"/>
        <v>44310</v>
      </c>
      <c r="Z9" s="76">
        <f t="shared" si="1"/>
        <v>44311</v>
      </c>
      <c r="AA9" s="75">
        <f t="shared" si="1"/>
        <v>44312</v>
      </c>
      <c r="AB9" s="76">
        <f t="shared" ref="AB9:AE9" si="2">AA9+1</f>
        <v>44313</v>
      </c>
      <c r="AC9" s="75">
        <f t="shared" si="2"/>
        <v>44314</v>
      </c>
      <c r="AD9" s="76">
        <f t="shared" si="2"/>
        <v>44315</v>
      </c>
      <c r="AE9" s="75">
        <f t="shared" si="2"/>
        <v>44316</v>
      </c>
      <c r="AF9" s="76">
        <f t="shared" ref="AF9" si="3">AE9+1</f>
        <v>44317</v>
      </c>
    </row>
    <row r="10" spans="1:32" s="43" customFormat="1" ht="6.65" customHeight="1" x14ac:dyDescent="0.35">
      <c r="A10" s="69"/>
      <c r="B10" s="41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</row>
    <row r="11" spans="1:32" x14ac:dyDescent="0.35">
      <c r="A11" s="73" t="str">
        <f>Unidades!A5</f>
        <v>U1C1</v>
      </c>
      <c r="B11" s="71"/>
      <c r="C11" s="77">
        <f>COUNTIFS(Tabela_Reservas[Unidade],'Mapa Contratos'!$A11,Tabela_Reservas[Período Inicial],"&lt;="&amp;'Mapa Contratos'!C$9,Tabela_Reservas[Período Final],"&gt;="&amp;'Mapa Contratos'!C$9)</f>
        <v>0</v>
      </c>
      <c r="D11" s="77">
        <f>COUNTIFS(Tabela_Reservas[Unidade],'Mapa Contratos'!$A11,Tabela_Reservas[Período Inicial],"&lt;="&amp;'Mapa Contratos'!D$9,Tabela_Reservas[Período Final],"&gt;="&amp;'Mapa Contratos'!D$9)</f>
        <v>0</v>
      </c>
      <c r="E11" s="77">
        <f>COUNTIFS(Tabela_Reservas[Unidade],'Mapa Contratos'!$A11,Tabela_Reservas[Período Inicial],"&lt;="&amp;'Mapa Contratos'!E$9,Tabela_Reservas[Período Final],"&gt;="&amp;'Mapa Contratos'!E$9)</f>
        <v>0</v>
      </c>
      <c r="F11" s="77">
        <f>COUNTIFS(Tabela_Reservas[Unidade],'Mapa Contratos'!$A11,Tabela_Reservas[Período Inicial],"&lt;="&amp;'Mapa Contratos'!F$9,Tabela_Reservas[Período Final],"&gt;="&amp;'Mapa Contratos'!F$9)</f>
        <v>0</v>
      </c>
      <c r="G11" s="77">
        <f>COUNTIFS(Tabela_Reservas[Unidade],'Mapa Contratos'!$A11,Tabela_Reservas[Período Inicial],"&lt;="&amp;'Mapa Contratos'!G$9,Tabela_Reservas[Período Final],"&gt;="&amp;'Mapa Contratos'!G$9)</f>
        <v>0</v>
      </c>
      <c r="H11" s="77">
        <f>COUNTIFS(Tabela_Reservas[Unidade],'Mapa Contratos'!$A11,Tabela_Reservas[Período Inicial],"&lt;="&amp;'Mapa Contratos'!H$9,Tabela_Reservas[Período Final],"&gt;="&amp;'Mapa Contratos'!H$9)</f>
        <v>0</v>
      </c>
      <c r="I11" s="77">
        <f>COUNTIFS(Tabela_Reservas[Unidade],'Mapa Contratos'!$A11,Tabela_Reservas[Período Inicial],"&lt;="&amp;'Mapa Contratos'!I$9,Tabela_Reservas[Período Final],"&gt;="&amp;'Mapa Contratos'!I$9)</f>
        <v>0</v>
      </c>
      <c r="J11" s="77">
        <f>COUNTIFS(Tabela_Reservas[Unidade],'Mapa Contratos'!$A11,Tabela_Reservas[Período Inicial],"&lt;="&amp;'Mapa Contratos'!J$9,Tabela_Reservas[Período Final],"&gt;="&amp;'Mapa Contratos'!J$9)</f>
        <v>0</v>
      </c>
      <c r="K11" s="77">
        <f>COUNTIFS(Tabela_Reservas[Unidade],'Mapa Contratos'!$A11,Tabela_Reservas[Período Inicial],"&lt;="&amp;'Mapa Contratos'!K$9,Tabela_Reservas[Período Final],"&gt;="&amp;'Mapa Contratos'!K$9)</f>
        <v>0</v>
      </c>
      <c r="L11" s="77">
        <f>COUNTIFS(Tabela_Reservas[Unidade],'Mapa Contratos'!$A11,Tabela_Reservas[Período Inicial],"&lt;="&amp;'Mapa Contratos'!L$9,Tabela_Reservas[Período Final],"&gt;="&amp;'Mapa Contratos'!L$9)</f>
        <v>0</v>
      </c>
      <c r="M11" s="77">
        <f>COUNTIFS(Tabela_Reservas[Unidade],'Mapa Contratos'!$A11,Tabela_Reservas[Período Inicial],"&lt;="&amp;'Mapa Contratos'!M$9,Tabela_Reservas[Período Final],"&gt;="&amp;'Mapa Contratos'!M$9)</f>
        <v>0</v>
      </c>
      <c r="N11" s="77">
        <f>COUNTIFS(Tabela_Reservas[Unidade],'Mapa Contratos'!$A11,Tabela_Reservas[Período Inicial],"&lt;="&amp;'Mapa Contratos'!N$9,Tabela_Reservas[Período Final],"&gt;="&amp;'Mapa Contratos'!N$9)</f>
        <v>0</v>
      </c>
      <c r="O11" s="77">
        <f>COUNTIFS(Tabela_Reservas[Unidade],'Mapa Contratos'!$A11,Tabela_Reservas[Período Inicial],"&lt;="&amp;'Mapa Contratos'!O$9,Tabela_Reservas[Período Final],"&gt;="&amp;'Mapa Contratos'!O$9)</f>
        <v>0</v>
      </c>
      <c r="P11" s="77">
        <f>COUNTIFS(Tabela_Reservas[Unidade],'Mapa Contratos'!$A11,Tabela_Reservas[Período Inicial],"&lt;="&amp;'Mapa Contratos'!P$9,Tabela_Reservas[Período Final],"&gt;="&amp;'Mapa Contratos'!P$9)</f>
        <v>0</v>
      </c>
      <c r="Q11" s="77">
        <f>COUNTIFS(Tabela_Reservas[Unidade],'Mapa Contratos'!$A11,Tabela_Reservas[Período Inicial],"&lt;="&amp;'Mapa Contratos'!Q$9,Tabela_Reservas[Período Final],"&gt;="&amp;'Mapa Contratos'!Q$9)</f>
        <v>0</v>
      </c>
      <c r="R11" s="77">
        <f>COUNTIFS(Tabela_Reservas[Unidade],'Mapa Contratos'!$A11,Tabela_Reservas[Período Inicial],"&lt;="&amp;'Mapa Contratos'!R$9,Tabela_Reservas[Período Final],"&gt;="&amp;'Mapa Contratos'!R$9)</f>
        <v>0</v>
      </c>
      <c r="S11" s="77">
        <f>COUNTIFS(Tabela_Reservas[Unidade],'Mapa Contratos'!$A11,Tabela_Reservas[Período Inicial],"&lt;="&amp;'Mapa Contratos'!S$9,Tabela_Reservas[Período Final],"&gt;="&amp;'Mapa Contratos'!S$9)</f>
        <v>0</v>
      </c>
      <c r="T11" s="77">
        <f>COUNTIFS(Tabela_Reservas[Unidade],'Mapa Contratos'!$A11,Tabela_Reservas[Período Inicial],"&lt;="&amp;'Mapa Contratos'!T$9,Tabela_Reservas[Período Final],"&gt;="&amp;'Mapa Contratos'!T$9)</f>
        <v>0</v>
      </c>
      <c r="U11" s="77">
        <f>COUNTIFS(Tabela_Reservas[Unidade],'Mapa Contratos'!$A11,Tabela_Reservas[Período Inicial],"&lt;="&amp;'Mapa Contratos'!U$9,Tabela_Reservas[Período Final],"&gt;="&amp;'Mapa Contratos'!U$9)</f>
        <v>0</v>
      </c>
      <c r="V11" s="77">
        <f>COUNTIFS(Tabela_Reservas[Unidade],'Mapa Contratos'!$A11,Tabela_Reservas[Período Inicial],"&lt;="&amp;'Mapa Contratos'!V$9,Tabela_Reservas[Período Final],"&gt;="&amp;'Mapa Contratos'!V$9)</f>
        <v>0</v>
      </c>
      <c r="W11" s="77">
        <f>COUNTIFS(Tabela_Reservas[Unidade],'Mapa Contratos'!$A11,Tabela_Reservas[Período Inicial],"&lt;="&amp;'Mapa Contratos'!W$9,Tabela_Reservas[Período Final],"&gt;="&amp;'Mapa Contratos'!W$9)</f>
        <v>0</v>
      </c>
      <c r="X11" s="77">
        <f>COUNTIFS(Tabela_Reservas[Unidade],'Mapa Contratos'!$A11,Tabela_Reservas[Período Inicial],"&lt;="&amp;'Mapa Contratos'!X$9,Tabela_Reservas[Período Final],"&gt;="&amp;'Mapa Contratos'!X$9)</f>
        <v>0</v>
      </c>
      <c r="Y11" s="77">
        <f>COUNTIFS(Tabela_Reservas[Unidade],'Mapa Contratos'!$A11,Tabela_Reservas[Período Inicial],"&lt;="&amp;'Mapa Contratos'!Y$9,Tabela_Reservas[Período Final],"&gt;="&amp;'Mapa Contratos'!Y$9)</f>
        <v>0</v>
      </c>
      <c r="Z11" s="77">
        <f>COUNTIFS(Tabela_Reservas[Unidade],'Mapa Contratos'!$A11,Tabela_Reservas[Período Inicial],"&lt;="&amp;'Mapa Contratos'!Z$9,Tabela_Reservas[Período Final],"&gt;="&amp;'Mapa Contratos'!Z$9)</f>
        <v>0</v>
      </c>
      <c r="AA11" s="77">
        <f>COUNTIFS(Tabela_Reservas[Unidade],'Mapa Contratos'!$A11,Tabela_Reservas[Período Inicial],"&lt;="&amp;'Mapa Contratos'!AA$9,Tabela_Reservas[Período Final],"&gt;="&amp;'Mapa Contratos'!AA$9)</f>
        <v>0</v>
      </c>
      <c r="AB11" s="77">
        <f>COUNTIFS(Tabela_Reservas[Unidade],'Mapa Contratos'!$A11,Tabela_Reservas[Período Inicial],"&lt;="&amp;'Mapa Contratos'!AB$9,Tabela_Reservas[Período Final],"&gt;="&amp;'Mapa Contratos'!AB$9)</f>
        <v>0</v>
      </c>
      <c r="AC11" s="77">
        <f>COUNTIFS(Tabela_Reservas[Unidade],'Mapa Contratos'!$A11,Tabela_Reservas[Período Inicial],"&lt;="&amp;'Mapa Contratos'!AC$9,Tabela_Reservas[Período Final],"&gt;="&amp;'Mapa Contratos'!AC$9)</f>
        <v>0</v>
      </c>
      <c r="AD11" s="77">
        <f>COUNTIFS(Tabela_Reservas[Unidade],'Mapa Contratos'!$A11,Tabela_Reservas[Período Inicial],"&lt;="&amp;'Mapa Contratos'!AD$9,Tabela_Reservas[Período Final],"&gt;="&amp;'Mapa Contratos'!AD$9)</f>
        <v>0</v>
      </c>
      <c r="AE11" s="77">
        <f>COUNTIFS(Tabela_Reservas[Unidade],'Mapa Contratos'!$A11,Tabela_Reservas[Período Inicial],"&lt;="&amp;'Mapa Contratos'!AE$9,Tabela_Reservas[Período Final],"&gt;="&amp;'Mapa Contratos'!AE$9)</f>
        <v>0</v>
      </c>
      <c r="AF11" s="77">
        <f>COUNTIFS(Tabela_Reservas[Unidade],'Mapa Contratos'!$A11,Tabela_Reservas[Período Inicial],"&lt;="&amp;'Mapa Contratos'!AF$9,Tabela_Reservas[Período Final],"&gt;="&amp;'Mapa Contratos'!AF$9)</f>
        <v>0</v>
      </c>
    </row>
    <row r="12" spans="1:32" x14ac:dyDescent="0.35">
      <c r="A12" s="73" t="str">
        <f>Unidades!A6</f>
        <v>U1C2</v>
      </c>
      <c r="B12" s="71"/>
      <c r="C12" s="77">
        <f>COUNTIFS(Tabela_Reservas[Unidade],'Mapa Contratos'!$A12,Tabela_Reservas[Período Inicial],"&lt;="&amp;'Mapa Contratos'!C$9,Tabela_Reservas[Período Final],"&gt;="&amp;'Mapa Contratos'!C$9)</f>
        <v>0</v>
      </c>
      <c r="D12" s="77">
        <f>COUNTIFS(Tabela_Reservas[Unidade],'Mapa Contratos'!$A12,Tabela_Reservas[Período Inicial],"&lt;="&amp;'Mapa Contratos'!D$9,Tabela_Reservas[Período Final],"&gt;="&amp;'Mapa Contratos'!D$9)</f>
        <v>0</v>
      </c>
      <c r="E12" s="77">
        <f>COUNTIFS(Tabela_Reservas[Unidade],'Mapa Contratos'!$A12,Tabela_Reservas[Período Inicial],"&lt;="&amp;'Mapa Contratos'!E$9,Tabela_Reservas[Período Final],"&gt;="&amp;'Mapa Contratos'!E$9)</f>
        <v>0</v>
      </c>
      <c r="F12" s="77">
        <f>COUNTIFS(Tabela_Reservas[Unidade],'Mapa Contratos'!$A12,Tabela_Reservas[Período Inicial],"&lt;="&amp;'Mapa Contratos'!F$9,Tabela_Reservas[Período Final],"&gt;="&amp;'Mapa Contratos'!F$9)</f>
        <v>0</v>
      </c>
      <c r="G12" s="77">
        <f>COUNTIFS(Tabela_Reservas[Unidade],'Mapa Contratos'!$A12,Tabela_Reservas[Período Inicial],"&lt;="&amp;'Mapa Contratos'!G$9,Tabela_Reservas[Período Final],"&gt;="&amp;'Mapa Contratos'!G$9)</f>
        <v>0</v>
      </c>
      <c r="H12" s="77">
        <f>COUNTIFS(Tabela_Reservas[Unidade],'Mapa Contratos'!$A12,Tabela_Reservas[Período Inicial],"&lt;="&amp;'Mapa Contratos'!H$9,Tabela_Reservas[Período Final],"&gt;="&amp;'Mapa Contratos'!H$9)</f>
        <v>0</v>
      </c>
      <c r="I12" s="77">
        <f>COUNTIFS(Tabela_Reservas[Unidade],'Mapa Contratos'!$A12,Tabela_Reservas[Período Inicial],"&lt;="&amp;'Mapa Contratos'!I$9,Tabela_Reservas[Período Final],"&gt;="&amp;'Mapa Contratos'!I$9)</f>
        <v>0</v>
      </c>
      <c r="J12" s="77">
        <f>COUNTIFS(Tabela_Reservas[Unidade],'Mapa Contratos'!$A12,Tabela_Reservas[Período Inicial],"&lt;="&amp;'Mapa Contratos'!J$9,Tabela_Reservas[Período Final],"&gt;="&amp;'Mapa Contratos'!J$9)</f>
        <v>0</v>
      </c>
      <c r="K12" s="77">
        <f>COUNTIFS(Tabela_Reservas[Unidade],'Mapa Contratos'!$A12,Tabela_Reservas[Período Inicial],"&lt;="&amp;'Mapa Contratos'!K$9,Tabela_Reservas[Período Final],"&gt;="&amp;'Mapa Contratos'!K$9)</f>
        <v>0</v>
      </c>
      <c r="L12" s="77">
        <f>COUNTIFS(Tabela_Reservas[Unidade],'Mapa Contratos'!$A12,Tabela_Reservas[Período Inicial],"&lt;="&amp;'Mapa Contratos'!L$9,Tabela_Reservas[Período Final],"&gt;="&amp;'Mapa Contratos'!L$9)</f>
        <v>0</v>
      </c>
      <c r="M12" s="77">
        <f>COUNTIFS(Tabela_Reservas[Unidade],'Mapa Contratos'!$A12,Tabela_Reservas[Período Inicial],"&lt;="&amp;'Mapa Contratos'!M$9,Tabela_Reservas[Período Final],"&gt;="&amp;'Mapa Contratos'!M$9)</f>
        <v>0</v>
      </c>
      <c r="N12" s="77">
        <f>COUNTIFS(Tabela_Reservas[Unidade],'Mapa Contratos'!$A12,Tabela_Reservas[Período Inicial],"&lt;="&amp;'Mapa Contratos'!N$9,Tabela_Reservas[Período Final],"&gt;="&amp;'Mapa Contratos'!N$9)</f>
        <v>0</v>
      </c>
      <c r="O12" s="77">
        <f>COUNTIFS(Tabela_Reservas[Unidade],'Mapa Contratos'!$A12,Tabela_Reservas[Período Inicial],"&lt;="&amp;'Mapa Contratos'!O$9,Tabela_Reservas[Período Final],"&gt;="&amp;'Mapa Contratos'!O$9)</f>
        <v>0</v>
      </c>
      <c r="P12" s="77">
        <f>COUNTIFS(Tabela_Reservas[Unidade],'Mapa Contratos'!$A12,Tabela_Reservas[Período Inicial],"&lt;="&amp;'Mapa Contratos'!P$9,Tabela_Reservas[Período Final],"&gt;="&amp;'Mapa Contratos'!P$9)</f>
        <v>0</v>
      </c>
      <c r="Q12" s="77">
        <f>COUNTIFS(Tabela_Reservas[Unidade],'Mapa Contratos'!$A12,Tabela_Reservas[Período Inicial],"&lt;="&amp;'Mapa Contratos'!Q$9,Tabela_Reservas[Período Final],"&gt;="&amp;'Mapa Contratos'!Q$9)</f>
        <v>0</v>
      </c>
      <c r="R12" s="77">
        <f>COUNTIFS(Tabela_Reservas[Unidade],'Mapa Contratos'!$A12,Tabela_Reservas[Período Inicial],"&lt;="&amp;'Mapa Contratos'!R$9,Tabela_Reservas[Período Final],"&gt;="&amp;'Mapa Contratos'!R$9)</f>
        <v>0</v>
      </c>
      <c r="S12" s="77">
        <f>COUNTIFS(Tabela_Reservas[Unidade],'Mapa Contratos'!$A12,Tabela_Reservas[Período Inicial],"&lt;="&amp;'Mapa Contratos'!S$9,Tabela_Reservas[Período Final],"&gt;="&amp;'Mapa Contratos'!S$9)</f>
        <v>0</v>
      </c>
      <c r="T12" s="77">
        <f>COUNTIFS(Tabela_Reservas[Unidade],'Mapa Contratos'!$A12,Tabela_Reservas[Período Inicial],"&lt;="&amp;'Mapa Contratos'!T$9,Tabela_Reservas[Período Final],"&gt;="&amp;'Mapa Contratos'!T$9)</f>
        <v>0</v>
      </c>
      <c r="U12" s="77">
        <f>COUNTIFS(Tabela_Reservas[Unidade],'Mapa Contratos'!$A12,Tabela_Reservas[Período Inicial],"&lt;="&amp;'Mapa Contratos'!U$9,Tabela_Reservas[Período Final],"&gt;="&amp;'Mapa Contratos'!U$9)</f>
        <v>0</v>
      </c>
      <c r="V12" s="77">
        <f>COUNTIFS(Tabela_Reservas[Unidade],'Mapa Contratos'!$A12,Tabela_Reservas[Período Inicial],"&lt;="&amp;'Mapa Contratos'!V$9,Tabela_Reservas[Período Final],"&gt;="&amp;'Mapa Contratos'!V$9)</f>
        <v>0</v>
      </c>
      <c r="W12" s="77">
        <f>COUNTIFS(Tabela_Reservas[Unidade],'Mapa Contratos'!$A12,Tabela_Reservas[Período Inicial],"&lt;="&amp;'Mapa Contratos'!W$9,Tabela_Reservas[Período Final],"&gt;="&amp;'Mapa Contratos'!W$9)</f>
        <v>0</v>
      </c>
      <c r="X12" s="77">
        <f>COUNTIFS(Tabela_Reservas[Unidade],'Mapa Contratos'!$A12,Tabela_Reservas[Período Inicial],"&lt;="&amp;'Mapa Contratos'!X$9,Tabela_Reservas[Período Final],"&gt;="&amp;'Mapa Contratos'!X$9)</f>
        <v>0</v>
      </c>
      <c r="Y12" s="77">
        <f>COUNTIFS(Tabela_Reservas[Unidade],'Mapa Contratos'!$A12,Tabela_Reservas[Período Inicial],"&lt;="&amp;'Mapa Contratos'!Y$9,Tabela_Reservas[Período Final],"&gt;="&amp;'Mapa Contratos'!Y$9)</f>
        <v>0</v>
      </c>
      <c r="Z12" s="77">
        <f>COUNTIFS(Tabela_Reservas[Unidade],'Mapa Contratos'!$A12,Tabela_Reservas[Período Inicial],"&lt;="&amp;'Mapa Contratos'!Z$9,Tabela_Reservas[Período Final],"&gt;="&amp;'Mapa Contratos'!Z$9)</f>
        <v>0</v>
      </c>
      <c r="AA12" s="77">
        <f>COUNTIFS(Tabela_Reservas[Unidade],'Mapa Contratos'!$A12,Tabela_Reservas[Período Inicial],"&lt;="&amp;'Mapa Contratos'!AA$9,Tabela_Reservas[Período Final],"&gt;="&amp;'Mapa Contratos'!AA$9)</f>
        <v>0</v>
      </c>
      <c r="AB12" s="77">
        <f>COUNTIFS(Tabela_Reservas[Unidade],'Mapa Contratos'!$A12,Tabela_Reservas[Período Inicial],"&lt;="&amp;'Mapa Contratos'!AB$9,Tabela_Reservas[Período Final],"&gt;="&amp;'Mapa Contratos'!AB$9)</f>
        <v>0</v>
      </c>
      <c r="AC12" s="77">
        <f>COUNTIFS(Tabela_Reservas[Unidade],'Mapa Contratos'!$A12,Tabela_Reservas[Período Inicial],"&lt;="&amp;'Mapa Contratos'!AC$9,Tabela_Reservas[Período Final],"&gt;="&amp;'Mapa Contratos'!AC$9)</f>
        <v>0</v>
      </c>
      <c r="AD12" s="77">
        <f>COUNTIFS(Tabela_Reservas[Unidade],'Mapa Contratos'!$A12,Tabela_Reservas[Período Inicial],"&lt;="&amp;'Mapa Contratos'!AD$9,Tabela_Reservas[Período Final],"&gt;="&amp;'Mapa Contratos'!AD$9)</f>
        <v>0</v>
      </c>
      <c r="AE12" s="77">
        <f>COUNTIFS(Tabela_Reservas[Unidade],'Mapa Contratos'!$A12,Tabela_Reservas[Período Inicial],"&lt;="&amp;'Mapa Contratos'!AE$9,Tabela_Reservas[Período Final],"&gt;="&amp;'Mapa Contratos'!AE$9)</f>
        <v>0</v>
      </c>
      <c r="AF12" s="77">
        <f>COUNTIFS(Tabela_Reservas[Unidade],'Mapa Contratos'!$A12,Tabela_Reservas[Período Inicial],"&lt;="&amp;'Mapa Contratos'!AF$9,Tabela_Reservas[Período Final],"&gt;="&amp;'Mapa Contratos'!AF$9)</f>
        <v>0</v>
      </c>
    </row>
    <row r="13" spans="1:32" x14ac:dyDescent="0.35">
      <c r="A13" s="73" t="str">
        <f>Unidades!A7</f>
        <v>U1C3</v>
      </c>
      <c r="B13" s="71"/>
      <c r="C13" s="77">
        <f>COUNTIFS(Tabela_Reservas[Unidade],'Mapa Contratos'!$A13,Tabela_Reservas[Período Inicial],"&lt;="&amp;'Mapa Contratos'!C$9,Tabela_Reservas[Período Final],"&gt;="&amp;'Mapa Contratos'!C$9)</f>
        <v>0</v>
      </c>
      <c r="D13" s="77">
        <f>COUNTIFS(Tabela_Reservas[Unidade],'Mapa Contratos'!$A13,Tabela_Reservas[Período Inicial],"&lt;="&amp;'Mapa Contratos'!D$9,Tabela_Reservas[Período Final],"&gt;="&amp;'Mapa Contratos'!D$9)</f>
        <v>0</v>
      </c>
      <c r="E13" s="77">
        <f>COUNTIFS(Tabela_Reservas[Unidade],'Mapa Contratos'!$A13,Tabela_Reservas[Período Inicial],"&lt;="&amp;'Mapa Contratos'!E$9,Tabela_Reservas[Período Final],"&gt;="&amp;'Mapa Contratos'!E$9)</f>
        <v>0</v>
      </c>
      <c r="F13" s="77">
        <f>COUNTIFS(Tabela_Reservas[Unidade],'Mapa Contratos'!$A13,Tabela_Reservas[Período Inicial],"&lt;="&amp;'Mapa Contratos'!F$9,Tabela_Reservas[Período Final],"&gt;="&amp;'Mapa Contratos'!F$9)</f>
        <v>0</v>
      </c>
      <c r="G13" s="77">
        <f>COUNTIFS(Tabela_Reservas[Unidade],'Mapa Contratos'!$A13,Tabela_Reservas[Período Inicial],"&lt;="&amp;'Mapa Contratos'!G$9,Tabela_Reservas[Período Final],"&gt;="&amp;'Mapa Contratos'!G$9)</f>
        <v>0</v>
      </c>
      <c r="H13" s="77">
        <f>COUNTIFS(Tabela_Reservas[Unidade],'Mapa Contratos'!$A13,Tabela_Reservas[Período Inicial],"&lt;="&amp;'Mapa Contratos'!H$9,Tabela_Reservas[Período Final],"&gt;="&amp;'Mapa Contratos'!H$9)</f>
        <v>0</v>
      </c>
      <c r="I13" s="77">
        <f>COUNTIFS(Tabela_Reservas[Unidade],'Mapa Contratos'!$A13,Tabela_Reservas[Período Inicial],"&lt;="&amp;'Mapa Contratos'!I$9,Tabela_Reservas[Período Final],"&gt;="&amp;'Mapa Contratos'!I$9)</f>
        <v>0</v>
      </c>
      <c r="J13" s="77">
        <f>COUNTIFS(Tabela_Reservas[Unidade],'Mapa Contratos'!$A13,Tabela_Reservas[Período Inicial],"&lt;="&amp;'Mapa Contratos'!J$9,Tabela_Reservas[Período Final],"&gt;="&amp;'Mapa Contratos'!J$9)</f>
        <v>0</v>
      </c>
      <c r="K13" s="77">
        <f>COUNTIFS(Tabela_Reservas[Unidade],'Mapa Contratos'!$A13,Tabela_Reservas[Período Inicial],"&lt;="&amp;'Mapa Contratos'!K$9,Tabela_Reservas[Período Final],"&gt;="&amp;'Mapa Contratos'!K$9)</f>
        <v>0</v>
      </c>
      <c r="L13" s="77">
        <f>COUNTIFS(Tabela_Reservas[Unidade],'Mapa Contratos'!$A13,Tabela_Reservas[Período Inicial],"&lt;="&amp;'Mapa Contratos'!L$9,Tabela_Reservas[Período Final],"&gt;="&amp;'Mapa Contratos'!L$9)</f>
        <v>0</v>
      </c>
      <c r="M13" s="77">
        <f>COUNTIFS(Tabela_Reservas[Unidade],'Mapa Contratos'!$A13,Tabela_Reservas[Período Inicial],"&lt;="&amp;'Mapa Contratos'!M$9,Tabela_Reservas[Período Final],"&gt;="&amp;'Mapa Contratos'!M$9)</f>
        <v>0</v>
      </c>
      <c r="N13" s="77">
        <f>COUNTIFS(Tabela_Reservas[Unidade],'Mapa Contratos'!$A13,Tabela_Reservas[Período Inicial],"&lt;="&amp;'Mapa Contratos'!N$9,Tabela_Reservas[Período Final],"&gt;="&amp;'Mapa Contratos'!N$9)</f>
        <v>0</v>
      </c>
      <c r="O13" s="77">
        <f>COUNTIFS(Tabela_Reservas[Unidade],'Mapa Contratos'!$A13,Tabela_Reservas[Período Inicial],"&lt;="&amp;'Mapa Contratos'!O$9,Tabela_Reservas[Período Final],"&gt;="&amp;'Mapa Contratos'!O$9)</f>
        <v>0</v>
      </c>
      <c r="P13" s="77">
        <f>COUNTIFS(Tabela_Reservas[Unidade],'Mapa Contratos'!$A13,Tabela_Reservas[Período Inicial],"&lt;="&amp;'Mapa Contratos'!P$9,Tabela_Reservas[Período Final],"&gt;="&amp;'Mapa Contratos'!P$9)</f>
        <v>0</v>
      </c>
      <c r="Q13" s="77">
        <f>COUNTIFS(Tabela_Reservas[Unidade],'Mapa Contratos'!$A13,Tabela_Reservas[Período Inicial],"&lt;="&amp;'Mapa Contratos'!Q$9,Tabela_Reservas[Período Final],"&gt;="&amp;'Mapa Contratos'!Q$9)</f>
        <v>0</v>
      </c>
      <c r="R13" s="77">
        <f>COUNTIFS(Tabela_Reservas[Unidade],'Mapa Contratos'!$A13,Tabela_Reservas[Período Inicial],"&lt;="&amp;'Mapa Contratos'!R$9,Tabela_Reservas[Período Final],"&gt;="&amp;'Mapa Contratos'!R$9)</f>
        <v>0</v>
      </c>
      <c r="S13" s="77">
        <f>COUNTIFS(Tabela_Reservas[Unidade],'Mapa Contratos'!$A13,Tabela_Reservas[Período Inicial],"&lt;="&amp;'Mapa Contratos'!S$9,Tabela_Reservas[Período Final],"&gt;="&amp;'Mapa Contratos'!S$9)</f>
        <v>0</v>
      </c>
      <c r="T13" s="77">
        <f>COUNTIFS(Tabela_Reservas[Unidade],'Mapa Contratos'!$A13,Tabela_Reservas[Período Inicial],"&lt;="&amp;'Mapa Contratos'!T$9,Tabela_Reservas[Período Final],"&gt;="&amp;'Mapa Contratos'!T$9)</f>
        <v>0</v>
      </c>
      <c r="U13" s="77">
        <f>COUNTIFS(Tabela_Reservas[Unidade],'Mapa Contratos'!$A13,Tabela_Reservas[Período Inicial],"&lt;="&amp;'Mapa Contratos'!U$9,Tabela_Reservas[Período Final],"&gt;="&amp;'Mapa Contratos'!U$9)</f>
        <v>0</v>
      </c>
      <c r="V13" s="77">
        <f>COUNTIFS(Tabela_Reservas[Unidade],'Mapa Contratos'!$A13,Tabela_Reservas[Período Inicial],"&lt;="&amp;'Mapa Contratos'!V$9,Tabela_Reservas[Período Final],"&gt;="&amp;'Mapa Contratos'!V$9)</f>
        <v>0</v>
      </c>
      <c r="W13" s="77">
        <f>COUNTIFS(Tabela_Reservas[Unidade],'Mapa Contratos'!$A13,Tabela_Reservas[Período Inicial],"&lt;="&amp;'Mapa Contratos'!W$9,Tabela_Reservas[Período Final],"&gt;="&amp;'Mapa Contratos'!W$9)</f>
        <v>0</v>
      </c>
      <c r="X13" s="77">
        <f>COUNTIFS(Tabela_Reservas[Unidade],'Mapa Contratos'!$A13,Tabela_Reservas[Período Inicial],"&lt;="&amp;'Mapa Contratos'!X$9,Tabela_Reservas[Período Final],"&gt;="&amp;'Mapa Contratos'!X$9)</f>
        <v>0</v>
      </c>
      <c r="Y13" s="77">
        <f>COUNTIFS(Tabela_Reservas[Unidade],'Mapa Contratos'!$A13,Tabela_Reservas[Período Inicial],"&lt;="&amp;'Mapa Contratos'!Y$9,Tabela_Reservas[Período Final],"&gt;="&amp;'Mapa Contratos'!Y$9)</f>
        <v>0</v>
      </c>
      <c r="Z13" s="77">
        <f>COUNTIFS(Tabela_Reservas[Unidade],'Mapa Contratos'!$A13,Tabela_Reservas[Período Inicial],"&lt;="&amp;'Mapa Contratos'!Z$9,Tabela_Reservas[Período Final],"&gt;="&amp;'Mapa Contratos'!Z$9)</f>
        <v>0</v>
      </c>
      <c r="AA13" s="77">
        <f>COUNTIFS(Tabela_Reservas[Unidade],'Mapa Contratos'!$A13,Tabela_Reservas[Período Inicial],"&lt;="&amp;'Mapa Contratos'!AA$9,Tabela_Reservas[Período Final],"&gt;="&amp;'Mapa Contratos'!AA$9)</f>
        <v>0</v>
      </c>
      <c r="AB13" s="77">
        <f>COUNTIFS(Tabela_Reservas[Unidade],'Mapa Contratos'!$A13,Tabela_Reservas[Período Inicial],"&lt;="&amp;'Mapa Contratos'!AB$9,Tabela_Reservas[Período Final],"&gt;="&amp;'Mapa Contratos'!AB$9)</f>
        <v>0</v>
      </c>
      <c r="AC13" s="77">
        <f>COUNTIFS(Tabela_Reservas[Unidade],'Mapa Contratos'!$A13,Tabela_Reservas[Período Inicial],"&lt;="&amp;'Mapa Contratos'!AC$9,Tabela_Reservas[Período Final],"&gt;="&amp;'Mapa Contratos'!AC$9)</f>
        <v>0</v>
      </c>
      <c r="AD13" s="77">
        <f>COUNTIFS(Tabela_Reservas[Unidade],'Mapa Contratos'!$A13,Tabela_Reservas[Período Inicial],"&lt;="&amp;'Mapa Contratos'!AD$9,Tabela_Reservas[Período Final],"&gt;="&amp;'Mapa Contratos'!AD$9)</f>
        <v>0</v>
      </c>
      <c r="AE13" s="77">
        <f>COUNTIFS(Tabela_Reservas[Unidade],'Mapa Contratos'!$A13,Tabela_Reservas[Período Inicial],"&lt;="&amp;'Mapa Contratos'!AE$9,Tabela_Reservas[Período Final],"&gt;="&amp;'Mapa Contratos'!AE$9)</f>
        <v>0</v>
      </c>
      <c r="AF13" s="77">
        <f>COUNTIFS(Tabela_Reservas[Unidade],'Mapa Contratos'!$A13,Tabela_Reservas[Período Inicial],"&lt;="&amp;'Mapa Contratos'!AF$9,Tabela_Reservas[Período Final],"&gt;="&amp;'Mapa Contratos'!AF$9)</f>
        <v>0</v>
      </c>
    </row>
    <row r="14" spans="1:32" x14ac:dyDescent="0.35">
      <c r="A14" s="73" t="str">
        <f>Unidades!A8</f>
        <v>U1C4</v>
      </c>
      <c r="B14" s="71"/>
      <c r="C14" s="77">
        <f>COUNTIFS(Tabela_Reservas[Unidade],'Mapa Contratos'!$A14,Tabela_Reservas[Período Inicial],"&lt;="&amp;'Mapa Contratos'!C$9,Tabela_Reservas[Período Final],"&gt;="&amp;'Mapa Contratos'!C$9)</f>
        <v>0</v>
      </c>
      <c r="D14" s="77">
        <f>COUNTIFS(Tabela_Reservas[Unidade],'Mapa Contratos'!$A14,Tabela_Reservas[Período Inicial],"&lt;="&amp;'Mapa Contratos'!D$9,Tabela_Reservas[Período Final],"&gt;="&amp;'Mapa Contratos'!D$9)</f>
        <v>0</v>
      </c>
      <c r="E14" s="77">
        <f>COUNTIFS(Tabela_Reservas[Unidade],'Mapa Contratos'!$A14,Tabela_Reservas[Período Inicial],"&lt;="&amp;'Mapa Contratos'!E$9,Tabela_Reservas[Período Final],"&gt;="&amp;'Mapa Contratos'!E$9)</f>
        <v>0</v>
      </c>
      <c r="F14" s="77">
        <f>COUNTIFS(Tabela_Reservas[Unidade],'Mapa Contratos'!$A14,Tabela_Reservas[Período Inicial],"&lt;="&amp;'Mapa Contratos'!F$9,Tabela_Reservas[Período Final],"&gt;="&amp;'Mapa Contratos'!F$9)</f>
        <v>0</v>
      </c>
      <c r="G14" s="77">
        <f>COUNTIFS(Tabela_Reservas[Unidade],'Mapa Contratos'!$A14,Tabela_Reservas[Período Inicial],"&lt;="&amp;'Mapa Contratos'!G$9,Tabela_Reservas[Período Final],"&gt;="&amp;'Mapa Contratos'!G$9)</f>
        <v>0</v>
      </c>
      <c r="H14" s="77">
        <f>COUNTIFS(Tabela_Reservas[Unidade],'Mapa Contratos'!$A14,Tabela_Reservas[Período Inicial],"&lt;="&amp;'Mapa Contratos'!H$9,Tabela_Reservas[Período Final],"&gt;="&amp;'Mapa Contratos'!H$9)</f>
        <v>0</v>
      </c>
      <c r="I14" s="77">
        <f>COUNTIFS(Tabela_Reservas[Unidade],'Mapa Contratos'!$A14,Tabela_Reservas[Período Inicial],"&lt;="&amp;'Mapa Contratos'!I$9,Tabela_Reservas[Período Final],"&gt;="&amp;'Mapa Contratos'!I$9)</f>
        <v>0</v>
      </c>
      <c r="J14" s="77">
        <f>COUNTIFS(Tabela_Reservas[Unidade],'Mapa Contratos'!$A14,Tabela_Reservas[Período Inicial],"&lt;="&amp;'Mapa Contratos'!J$9,Tabela_Reservas[Período Final],"&gt;="&amp;'Mapa Contratos'!J$9)</f>
        <v>0</v>
      </c>
      <c r="K14" s="77">
        <f>COUNTIFS(Tabela_Reservas[Unidade],'Mapa Contratos'!$A14,Tabela_Reservas[Período Inicial],"&lt;="&amp;'Mapa Contratos'!K$9,Tabela_Reservas[Período Final],"&gt;="&amp;'Mapa Contratos'!K$9)</f>
        <v>0</v>
      </c>
      <c r="L14" s="77">
        <f>COUNTIFS(Tabela_Reservas[Unidade],'Mapa Contratos'!$A14,Tabela_Reservas[Período Inicial],"&lt;="&amp;'Mapa Contratos'!L$9,Tabela_Reservas[Período Final],"&gt;="&amp;'Mapa Contratos'!L$9)</f>
        <v>0</v>
      </c>
      <c r="M14" s="77">
        <f>COUNTIFS(Tabela_Reservas[Unidade],'Mapa Contratos'!$A14,Tabela_Reservas[Período Inicial],"&lt;="&amp;'Mapa Contratos'!M$9,Tabela_Reservas[Período Final],"&gt;="&amp;'Mapa Contratos'!M$9)</f>
        <v>0</v>
      </c>
      <c r="N14" s="77">
        <f>COUNTIFS(Tabela_Reservas[Unidade],'Mapa Contratos'!$A14,Tabela_Reservas[Período Inicial],"&lt;="&amp;'Mapa Contratos'!N$9,Tabela_Reservas[Período Final],"&gt;="&amp;'Mapa Contratos'!N$9)</f>
        <v>0</v>
      </c>
      <c r="O14" s="77">
        <f>COUNTIFS(Tabela_Reservas[Unidade],'Mapa Contratos'!$A14,Tabela_Reservas[Período Inicial],"&lt;="&amp;'Mapa Contratos'!O$9,Tabela_Reservas[Período Final],"&gt;="&amp;'Mapa Contratos'!O$9)</f>
        <v>0</v>
      </c>
      <c r="P14" s="77">
        <f>COUNTIFS(Tabela_Reservas[Unidade],'Mapa Contratos'!$A14,Tabela_Reservas[Período Inicial],"&lt;="&amp;'Mapa Contratos'!P$9,Tabela_Reservas[Período Final],"&gt;="&amp;'Mapa Contratos'!P$9)</f>
        <v>0</v>
      </c>
      <c r="Q14" s="77">
        <f>COUNTIFS(Tabela_Reservas[Unidade],'Mapa Contratos'!$A14,Tabela_Reservas[Período Inicial],"&lt;="&amp;'Mapa Contratos'!Q$9,Tabela_Reservas[Período Final],"&gt;="&amp;'Mapa Contratos'!Q$9)</f>
        <v>0</v>
      </c>
      <c r="R14" s="77">
        <f>COUNTIFS(Tabela_Reservas[Unidade],'Mapa Contratos'!$A14,Tabela_Reservas[Período Inicial],"&lt;="&amp;'Mapa Contratos'!R$9,Tabela_Reservas[Período Final],"&gt;="&amp;'Mapa Contratos'!R$9)</f>
        <v>0</v>
      </c>
      <c r="S14" s="77">
        <f>COUNTIFS(Tabela_Reservas[Unidade],'Mapa Contratos'!$A14,Tabela_Reservas[Período Inicial],"&lt;="&amp;'Mapa Contratos'!S$9,Tabela_Reservas[Período Final],"&gt;="&amp;'Mapa Contratos'!S$9)</f>
        <v>0</v>
      </c>
      <c r="T14" s="77">
        <f>COUNTIFS(Tabela_Reservas[Unidade],'Mapa Contratos'!$A14,Tabela_Reservas[Período Inicial],"&lt;="&amp;'Mapa Contratos'!T$9,Tabela_Reservas[Período Final],"&gt;="&amp;'Mapa Contratos'!T$9)</f>
        <v>0</v>
      </c>
      <c r="U14" s="77">
        <f>COUNTIFS(Tabela_Reservas[Unidade],'Mapa Contratos'!$A14,Tabela_Reservas[Período Inicial],"&lt;="&amp;'Mapa Contratos'!U$9,Tabela_Reservas[Período Final],"&gt;="&amp;'Mapa Contratos'!U$9)</f>
        <v>0</v>
      </c>
      <c r="V14" s="77">
        <f>COUNTIFS(Tabela_Reservas[Unidade],'Mapa Contratos'!$A14,Tabela_Reservas[Período Inicial],"&lt;="&amp;'Mapa Contratos'!V$9,Tabela_Reservas[Período Final],"&gt;="&amp;'Mapa Contratos'!V$9)</f>
        <v>0</v>
      </c>
      <c r="W14" s="77">
        <f>COUNTIFS(Tabela_Reservas[Unidade],'Mapa Contratos'!$A14,Tabela_Reservas[Período Inicial],"&lt;="&amp;'Mapa Contratos'!W$9,Tabela_Reservas[Período Final],"&gt;="&amp;'Mapa Contratos'!W$9)</f>
        <v>0</v>
      </c>
      <c r="X14" s="77">
        <f>COUNTIFS(Tabela_Reservas[Unidade],'Mapa Contratos'!$A14,Tabela_Reservas[Período Inicial],"&lt;="&amp;'Mapa Contratos'!X$9,Tabela_Reservas[Período Final],"&gt;="&amp;'Mapa Contratos'!X$9)</f>
        <v>0</v>
      </c>
      <c r="Y14" s="77">
        <f>COUNTIFS(Tabela_Reservas[Unidade],'Mapa Contratos'!$A14,Tabela_Reservas[Período Inicial],"&lt;="&amp;'Mapa Contratos'!Y$9,Tabela_Reservas[Período Final],"&gt;="&amp;'Mapa Contratos'!Y$9)</f>
        <v>0</v>
      </c>
      <c r="Z14" s="77">
        <f>COUNTIFS(Tabela_Reservas[Unidade],'Mapa Contratos'!$A14,Tabela_Reservas[Período Inicial],"&lt;="&amp;'Mapa Contratos'!Z$9,Tabela_Reservas[Período Final],"&gt;="&amp;'Mapa Contratos'!Z$9)</f>
        <v>0</v>
      </c>
      <c r="AA14" s="77">
        <f>COUNTIFS(Tabela_Reservas[Unidade],'Mapa Contratos'!$A14,Tabela_Reservas[Período Inicial],"&lt;="&amp;'Mapa Contratos'!AA$9,Tabela_Reservas[Período Final],"&gt;="&amp;'Mapa Contratos'!AA$9)</f>
        <v>0</v>
      </c>
      <c r="AB14" s="77">
        <f>COUNTIFS(Tabela_Reservas[Unidade],'Mapa Contratos'!$A14,Tabela_Reservas[Período Inicial],"&lt;="&amp;'Mapa Contratos'!AB$9,Tabela_Reservas[Período Final],"&gt;="&amp;'Mapa Contratos'!AB$9)</f>
        <v>0</v>
      </c>
      <c r="AC14" s="77">
        <f>COUNTIFS(Tabela_Reservas[Unidade],'Mapa Contratos'!$A14,Tabela_Reservas[Período Inicial],"&lt;="&amp;'Mapa Contratos'!AC$9,Tabela_Reservas[Período Final],"&gt;="&amp;'Mapa Contratos'!AC$9)</f>
        <v>0</v>
      </c>
      <c r="AD14" s="77">
        <f>COUNTIFS(Tabela_Reservas[Unidade],'Mapa Contratos'!$A14,Tabela_Reservas[Período Inicial],"&lt;="&amp;'Mapa Contratos'!AD$9,Tabela_Reservas[Período Final],"&gt;="&amp;'Mapa Contratos'!AD$9)</f>
        <v>0</v>
      </c>
      <c r="AE14" s="77">
        <f>COUNTIFS(Tabela_Reservas[Unidade],'Mapa Contratos'!$A14,Tabela_Reservas[Período Inicial],"&lt;="&amp;'Mapa Contratos'!AE$9,Tabela_Reservas[Período Final],"&gt;="&amp;'Mapa Contratos'!AE$9)</f>
        <v>0</v>
      </c>
      <c r="AF14" s="77">
        <f>COUNTIFS(Tabela_Reservas[Unidade],'Mapa Contratos'!$A14,Tabela_Reservas[Período Inicial],"&lt;="&amp;'Mapa Contratos'!AF$9,Tabela_Reservas[Período Final],"&gt;="&amp;'Mapa Contratos'!AF$9)</f>
        <v>0</v>
      </c>
    </row>
    <row r="15" spans="1:32" x14ac:dyDescent="0.35">
      <c r="A15" s="73" t="str">
        <f>Unidades!A9</f>
        <v>U1C5</v>
      </c>
      <c r="B15" s="71"/>
      <c r="C15" s="77">
        <f>COUNTIFS(Tabela_Reservas[Unidade],'Mapa Contratos'!$A15,Tabela_Reservas[Período Inicial],"&lt;="&amp;'Mapa Contratos'!C$9,Tabela_Reservas[Período Final],"&gt;="&amp;'Mapa Contratos'!C$9)</f>
        <v>0</v>
      </c>
      <c r="D15" s="77">
        <f>COUNTIFS(Tabela_Reservas[Unidade],'Mapa Contratos'!$A15,Tabela_Reservas[Período Inicial],"&lt;="&amp;'Mapa Contratos'!D$9,Tabela_Reservas[Período Final],"&gt;="&amp;'Mapa Contratos'!D$9)</f>
        <v>0</v>
      </c>
      <c r="E15" s="77">
        <f>COUNTIFS(Tabela_Reservas[Unidade],'Mapa Contratos'!$A15,Tabela_Reservas[Período Inicial],"&lt;="&amp;'Mapa Contratos'!E$9,Tabela_Reservas[Período Final],"&gt;="&amp;'Mapa Contratos'!E$9)</f>
        <v>0</v>
      </c>
      <c r="F15" s="77">
        <f>COUNTIFS(Tabela_Reservas[Unidade],'Mapa Contratos'!$A15,Tabela_Reservas[Período Inicial],"&lt;="&amp;'Mapa Contratos'!F$9,Tabela_Reservas[Período Final],"&gt;="&amp;'Mapa Contratos'!F$9)</f>
        <v>0</v>
      </c>
      <c r="G15" s="77">
        <f>COUNTIFS(Tabela_Reservas[Unidade],'Mapa Contratos'!$A15,Tabela_Reservas[Período Inicial],"&lt;="&amp;'Mapa Contratos'!G$9,Tabela_Reservas[Período Final],"&gt;="&amp;'Mapa Contratos'!G$9)</f>
        <v>0</v>
      </c>
      <c r="H15" s="77">
        <f>COUNTIFS(Tabela_Reservas[Unidade],'Mapa Contratos'!$A15,Tabela_Reservas[Período Inicial],"&lt;="&amp;'Mapa Contratos'!H$9,Tabela_Reservas[Período Final],"&gt;="&amp;'Mapa Contratos'!H$9)</f>
        <v>0</v>
      </c>
      <c r="I15" s="77">
        <f>COUNTIFS(Tabela_Reservas[Unidade],'Mapa Contratos'!$A15,Tabela_Reservas[Período Inicial],"&lt;="&amp;'Mapa Contratos'!I$9,Tabela_Reservas[Período Final],"&gt;="&amp;'Mapa Contratos'!I$9)</f>
        <v>0</v>
      </c>
      <c r="J15" s="77">
        <f>COUNTIFS(Tabela_Reservas[Unidade],'Mapa Contratos'!$A15,Tabela_Reservas[Período Inicial],"&lt;="&amp;'Mapa Contratos'!J$9,Tabela_Reservas[Período Final],"&gt;="&amp;'Mapa Contratos'!J$9)</f>
        <v>0</v>
      </c>
      <c r="K15" s="77">
        <f>COUNTIFS(Tabela_Reservas[Unidade],'Mapa Contratos'!$A15,Tabela_Reservas[Período Inicial],"&lt;="&amp;'Mapa Contratos'!K$9,Tabela_Reservas[Período Final],"&gt;="&amp;'Mapa Contratos'!K$9)</f>
        <v>0</v>
      </c>
      <c r="L15" s="77">
        <f>COUNTIFS(Tabela_Reservas[Unidade],'Mapa Contratos'!$A15,Tabela_Reservas[Período Inicial],"&lt;="&amp;'Mapa Contratos'!L$9,Tabela_Reservas[Período Final],"&gt;="&amp;'Mapa Contratos'!L$9)</f>
        <v>0</v>
      </c>
      <c r="M15" s="77">
        <f>COUNTIFS(Tabela_Reservas[Unidade],'Mapa Contratos'!$A15,Tabela_Reservas[Período Inicial],"&lt;="&amp;'Mapa Contratos'!M$9,Tabela_Reservas[Período Final],"&gt;="&amp;'Mapa Contratos'!M$9)</f>
        <v>0</v>
      </c>
      <c r="N15" s="77">
        <f>COUNTIFS(Tabela_Reservas[Unidade],'Mapa Contratos'!$A15,Tabela_Reservas[Período Inicial],"&lt;="&amp;'Mapa Contratos'!N$9,Tabela_Reservas[Período Final],"&gt;="&amp;'Mapa Contratos'!N$9)</f>
        <v>0</v>
      </c>
      <c r="O15" s="77">
        <f>COUNTIFS(Tabela_Reservas[Unidade],'Mapa Contratos'!$A15,Tabela_Reservas[Período Inicial],"&lt;="&amp;'Mapa Contratos'!O$9,Tabela_Reservas[Período Final],"&gt;="&amp;'Mapa Contratos'!O$9)</f>
        <v>0</v>
      </c>
      <c r="P15" s="77">
        <f>COUNTIFS(Tabela_Reservas[Unidade],'Mapa Contratos'!$A15,Tabela_Reservas[Período Inicial],"&lt;="&amp;'Mapa Contratos'!P$9,Tabela_Reservas[Período Final],"&gt;="&amp;'Mapa Contratos'!P$9)</f>
        <v>0</v>
      </c>
      <c r="Q15" s="77">
        <f>COUNTIFS(Tabela_Reservas[Unidade],'Mapa Contratos'!$A15,Tabela_Reservas[Período Inicial],"&lt;="&amp;'Mapa Contratos'!Q$9,Tabela_Reservas[Período Final],"&gt;="&amp;'Mapa Contratos'!Q$9)</f>
        <v>0</v>
      </c>
      <c r="R15" s="77">
        <f>COUNTIFS(Tabela_Reservas[Unidade],'Mapa Contratos'!$A15,Tabela_Reservas[Período Inicial],"&lt;="&amp;'Mapa Contratos'!R$9,Tabela_Reservas[Período Final],"&gt;="&amp;'Mapa Contratos'!R$9)</f>
        <v>0</v>
      </c>
      <c r="S15" s="77">
        <f>COUNTIFS(Tabela_Reservas[Unidade],'Mapa Contratos'!$A15,Tabela_Reservas[Período Inicial],"&lt;="&amp;'Mapa Contratos'!S$9,Tabela_Reservas[Período Final],"&gt;="&amp;'Mapa Contratos'!S$9)</f>
        <v>0</v>
      </c>
      <c r="T15" s="77">
        <f>COUNTIFS(Tabela_Reservas[Unidade],'Mapa Contratos'!$A15,Tabela_Reservas[Período Inicial],"&lt;="&amp;'Mapa Contratos'!T$9,Tabela_Reservas[Período Final],"&gt;="&amp;'Mapa Contratos'!T$9)</f>
        <v>0</v>
      </c>
      <c r="U15" s="77">
        <f>COUNTIFS(Tabela_Reservas[Unidade],'Mapa Contratos'!$A15,Tabela_Reservas[Período Inicial],"&lt;="&amp;'Mapa Contratos'!U$9,Tabela_Reservas[Período Final],"&gt;="&amp;'Mapa Contratos'!U$9)</f>
        <v>0</v>
      </c>
      <c r="V15" s="77">
        <f>COUNTIFS(Tabela_Reservas[Unidade],'Mapa Contratos'!$A15,Tabela_Reservas[Período Inicial],"&lt;="&amp;'Mapa Contratos'!V$9,Tabela_Reservas[Período Final],"&gt;="&amp;'Mapa Contratos'!V$9)</f>
        <v>0</v>
      </c>
      <c r="W15" s="77">
        <f>COUNTIFS(Tabela_Reservas[Unidade],'Mapa Contratos'!$A15,Tabela_Reservas[Período Inicial],"&lt;="&amp;'Mapa Contratos'!W$9,Tabela_Reservas[Período Final],"&gt;="&amp;'Mapa Contratos'!W$9)</f>
        <v>0</v>
      </c>
      <c r="X15" s="77">
        <f>COUNTIFS(Tabela_Reservas[Unidade],'Mapa Contratos'!$A15,Tabela_Reservas[Período Inicial],"&lt;="&amp;'Mapa Contratos'!X$9,Tabela_Reservas[Período Final],"&gt;="&amp;'Mapa Contratos'!X$9)</f>
        <v>0</v>
      </c>
      <c r="Y15" s="77">
        <f>COUNTIFS(Tabela_Reservas[Unidade],'Mapa Contratos'!$A15,Tabela_Reservas[Período Inicial],"&lt;="&amp;'Mapa Contratos'!Y$9,Tabela_Reservas[Período Final],"&gt;="&amp;'Mapa Contratos'!Y$9)</f>
        <v>0</v>
      </c>
      <c r="Z15" s="77">
        <f>COUNTIFS(Tabela_Reservas[Unidade],'Mapa Contratos'!$A15,Tabela_Reservas[Período Inicial],"&lt;="&amp;'Mapa Contratos'!Z$9,Tabela_Reservas[Período Final],"&gt;="&amp;'Mapa Contratos'!Z$9)</f>
        <v>0</v>
      </c>
      <c r="AA15" s="77">
        <f>COUNTIFS(Tabela_Reservas[Unidade],'Mapa Contratos'!$A15,Tabela_Reservas[Período Inicial],"&lt;="&amp;'Mapa Contratos'!AA$9,Tabela_Reservas[Período Final],"&gt;="&amp;'Mapa Contratos'!AA$9)</f>
        <v>0</v>
      </c>
      <c r="AB15" s="77">
        <f>COUNTIFS(Tabela_Reservas[Unidade],'Mapa Contratos'!$A15,Tabela_Reservas[Período Inicial],"&lt;="&amp;'Mapa Contratos'!AB$9,Tabela_Reservas[Período Final],"&gt;="&amp;'Mapa Contratos'!AB$9)</f>
        <v>0</v>
      </c>
      <c r="AC15" s="77">
        <f>COUNTIFS(Tabela_Reservas[Unidade],'Mapa Contratos'!$A15,Tabela_Reservas[Período Inicial],"&lt;="&amp;'Mapa Contratos'!AC$9,Tabela_Reservas[Período Final],"&gt;="&amp;'Mapa Contratos'!AC$9)</f>
        <v>0</v>
      </c>
      <c r="AD15" s="77">
        <f>COUNTIFS(Tabela_Reservas[Unidade],'Mapa Contratos'!$A15,Tabela_Reservas[Período Inicial],"&lt;="&amp;'Mapa Contratos'!AD$9,Tabela_Reservas[Período Final],"&gt;="&amp;'Mapa Contratos'!AD$9)</f>
        <v>0</v>
      </c>
      <c r="AE15" s="77">
        <f>COUNTIFS(Tabela_Reservas[Unidade],'Mapa Contratos'!$A15,Tabela_Reservas[Período Inicial],"&lt;="&amp;'Mapa Contratos'!AE$9,Tabela_Reservas[Período Final],"&gt;="&amp;'Mapa Contratos'!AE$9)</f>
        <v>0</v>
      </c>
      <c r="AF15" s="77">
        <f>COUNTIFS(Tabela_Reservas[Unidade],'Mapa Contratos'!$A15,Tabela_Reservas[Período Inicial],"&lt;="&amp;'Mapa Contratos'!AF$9,Tabela_Reservas[Período Final],"&gt;="&amp;'Mapa Contratos'!AF$9)</f>
        <v>0</v>
      </c>
    </row>
    <row r="16" spans="1:32" x14ac:dyDescent="0.35">
      <c r="A16" s="73" t="str">
        <f>Unidades!A10</f>
        <v>U1C6</v>
      </c>
      <c r="B16" s="71"/>
      <c r="C16" s="77">
        <f>COUNTIFS(Tabela_Reservas[Unidade],'Mapa Contratos'!$A16,Tabela_Reservas[Período Inicial],"&lt;="&amp;'Mapa Contratos'!C$9,Tabela_Reservas[Período Final],"&gt;="&amp;'Mapa Contratos'!C$9)</f>
        <v>0</v>
      </c>
      <c r="D16" s="77">
        <f>COUNTIFS(Tabela_Reservas[Unidade],'Mapa Contratos'!$A16,Tabela_Reservas[Período Inicial],"&lt;="&amp;'Mapa Contratos'!D$9,Tabela_Reservas[Período Final],"&gt;="&amp;'Mapa Contratos'!D$9)</f>
        <v>0</v>
      </c>
      <c r="E16" s="77">
        <f>COUNTIFS(Tabela_Reservas[Unidade],'Mapa Contratos'!$A16,Tabela_Reservas[Período Inicial],"&lt;="&amp;'Mapa Contratos'!E$9,Tabela_Reservas[Período Final],"&gt;="&amp;'Mapa Contratos'!E$9)</f>
        <v>0</v>
      </c>
      <c r="F16" s="77">
        <f>COUNTIFS(Tabela_Reservas[Unidade],'Mapa Contratos'!$A16,Tabela_Reservas[Período Inicial],"&lt;="&amp;'Mapa Contratos'!F$9,Tabela_Reservas[Período Final],"&gt;="&amp;'Mapa Contratos'!F$9)</f>
        <v>0</v>
      </c>
      <c r="G16" s="77">
        <f>COUNTIFS(Tabela_Reservas[Unidade],'Mapa Contratos'!$A16,Tabela_Reservas[Período Inicial],"&lt;="&amp;'Mapa Contratos'!G$9,Tabela_Reservas[Período Final],"&gt;="&amp;'Mapa Contratos'!G$9)</f>
        <v>0</v>
      </c>
      <c r="H16" s="77">
        <f>COUNTIFS(Tabela_Reservas[Unidade],'Mapa Contratos'!$A16,Tabela_Reservas[Período Inicial],"&lt;="&amp;'Mapa Contratos'!H$9,Tabela_Reservas[Período Final],"&gt;="&amp;'Mapa Contratos'!H$9)</f>
        <v>0</v>
      </c>
      <c r="I16" s="77">
        <f>COUNTIFS(Tabela_Reservas[Unidade],'Mapa Contratos'!$A16,Tabela_Reservas[Período Inicial],"&lt;="&amp;'Mapa Contratos'!I$9,Tabela_Reservas[Período Final],"&gt;="&amp;'Mapa Contratos'!I$9)</f>
        <v>0</v>
      </c>
      <c r="J16" s="77">
        <f>COUNTIFS(Tabela_Reservas[Unidade],'Mapa Contratos'!$A16,Tabela_Reservas[Período Inicial],"&lt;="&amp;'Mapa Contratos'!J$9,Tabela_Reservas[Período Final],"&gt;="&amp;'Mapa Contratos'!J$9)</f>
        <v>0</v>
      </c>
      <c r="K16" s="77">
        <f>COUNTIFS(Tabela_Reservas[Unidade],'Mapa Contratos'!$A16,Tabela_Reservas[Período Inicial],"&lt;="&amp;'Mapa Contratos'!K$9,Tabela_Reservas[Período Final],"&gt;="&amp;'Mapa Contratos'!K$9)</f>
        <v>0</v>
      </c>
      <c r="L16" s="77">
        <f>COUNTIFS(Tabela_Reservas[Unidade],'Mapa Contratos'!$A16,Tabela_Reservas[Período Inicial],"&lt;="&amp;'Mapa Contratos'!L$9,Tabela_Reservas[Período Final],"&gt;="&amp;'Mapa Contratos'!L$9)</f>
        <v>0</v>
      </c>
      <c r="M16" s="77">
        <f>COUNTIFS(Tabela_Reservas[Unidade],'Mapa Contratos'!$A16,Tabela_Reservas[Período Inicial],"&lt;="&amp;'Mapa Contratos'!M$9,Tabela_Reservas[Período Final],"&gt;="&amp;'Mapa Contratos'!M$9)</f>
        <v>0</v>
      </c>
      <c r="N16" s="77">
        <f>COUNTIFS(Tabela_Reservas[Unidade],'Mapa Contratos'!$A16,Tabela_Reservas[Período Inicial],"&lt;="&amp;'Mapa Contratos'!N$9,Tabela_Reservas[Período Final],"&gt;="&amp;'Mapa Contratos'!N$9)</f>
        <v>0</v>
      </c>
      <c r="O16" s="77">
        <f>COUNTIFS(Tabela_Reservas[Unidade],'Mapa Contratos'!$A16,Tabela_Reservas[Período Inicial],"&lt;="&amp;'Mapa Contratos'!O$9,Tabela_Reservas[Período Final],"&gt;="&amp;'Mapa Contratos'!O$9)</f>
        <v>0</v>
      </c>
      <c r="P16" s="77">
        <f>COUNTIFS(Tabela_Reservas[Unidade],'Mapa Contratos'!$A16,Tabela_Reservas[Período Inicial],"&lt;="&amp;'Mapa Contratos'!P$9,Tabela_Reservas[Período Final],"&gt;="&amp;'Mapa Contratos'!P$9)</f>
        <v>0</v>
      </c>
      <c r="Q16" s="77">
        <f>COUNTIFS(Tabela_Reservas[Unidade],'Mapa Contratos'!$A16,Tabela_Reservas[Período Inicial],"&lt;="&amp;'Mapa Contratos'!Q$9,Tabela_Reservas[Período Final],"&gt;="&amp;'Mapa Contratos'!Q$9)</f>
        <v>0</v>
      </c>
      <c r="R16" s="77">
        <f>COUNTIFS(Tabela_Reservas[Unidade],'Mapa Contratos'!$A16,Tabela_Reservas[Período Inicial],"&lt;="&amp;'Mapa Contratos'!R$9,Tabela_Reservas[Período Final],"&gt;="&amp;'Mapa Contratos'!R$9)</f>
        <v>0</v>
      </c>
      <c r="S16" s="77">
        <f>COUNTIFS(Tabela_Reservas[Unidade],'Mapa Contratos'!$A16,Tabela_Reservas[Período Inicial],"&lt;="&amp;'Mapa Contratos'!S$9,Tabela_Reservas[Período Final],"&gt;="&amp;'Mapa Contratos'!S$9)</f>
        <v>0</v>
      </c>
      <c r="T16" s="77">
        <f>COUNTIFS(Tabela_Reservas[Unidade],'Mapa Contratos'!$A16,Tabela_Reservas[Período Inicial],"&lt;="&amp;'Mapa Contratos'!T$9,Tabela_Reservas[Período Final],"&gt;="&amp;'Mapa Contratos'!T$9)</f>
        <v>0</v>
      </c>
      <c r="U16" s="77">
        <f>COUNTIFS(Tabela_Reservas[Unidade],'Mapa Contratos'!$A16,Tabela_Reservas[Período Inicial],"&lt;="&amp;'Mapa Contratos'!U$9,Tabela_Reservas[Período Final],"&gt;="&amp;'Mapa Contratos'!U$9)</f>
        <v>0</v>
      </c>
      <c r="V16" s="77">
        <f>COUNTIFS(Tabela_Reservas[Unidade],'Mapa Contratos'!$A16,Tabela_Reservas[Período Inicial],"&lt;="&amp;'Mapa Contratos'!V$9,Tabela_Reservas[Período Final],"&gt;="&amp;'Mapa Contratos'!V$9)</f>
        <v>0</v>
      </c>
      <c r="W16" s="77">
        <f>COUNTIFS(Tabela_Reservas[Unidade],'Mapa Contratos'!$A16,Tabela_Reservas[Período Inicial],"&lt;="&amp;'Mapa Contratos'!W$9,Tabela_Reservas[Período Final],"&gt;="&amp;'Mapa Contratos'!W$9)</f>
        <v>0</v>
      </c>
      <c r="X16" s="77">
        <f>COUNTIFS(Tabela_Reservas[Unidade],'Mapa Contratos'!$A16,Tabela_Reservas[Período Inicial],"&lt;="&amp;'Mapa Contratos'!X$9,Tabela_Reservas[Período Final],"&gt;="&amp;'Mapa Contratos'!X$9)</f>
        <v>0</v>
      </c>
      <c r="Y16" s="77">
        <f>COUNTIFS(Tabela_Reservas[Unidade],'Mapa Contratos'!$A16,Tabela_Reservas[Período Inicial],"&lt;="&amp;'Mapa Contratos'!Y$9,Tabela_Reservas[Período Final],"&gt;="&amp;'Mapa Contratos'!Y$9)</f>
        <v>0</v>
      </c>
      <c r="Z16" s="77">
        <f>COUNTIFS(Tabela_Reservas[Unidade],'Mapa Contratos'!$A16,Tabela_Reservas[Período Inicial],"&lt;="&amp;'Mapa Contratos'!Z$9,Tabela_Reservas[Período Final],"&gt;="&amp;'Mapa Contratos'!Z$9)</f>
        <v>0</v>
      </c>
      <c r="AA16" s="77">
        <f>COUNTIFS(Tabela_Reservas[Unidade],'Mapa Contratos'!$A16,Tabela_Reservas[Período Inicial],"&lt;="&amp;'Mapa Contratos'!AA$9,Tabela_Reservas[Período Final],"&gt;="&amp;'Mapa Contratos'!AA$9)</f>
        <v>0</v>
      </c>
      <c r="AB16" s="77">
        <f>COUNTIFS(Tabela_Reservas[Unidade],'Mapa Contratos'!$A16,Tabela_Reservas[Período Inicial],"&lt;="&amp;'Mapa Contratos'!AB$9,Tabela_Reservas[Período Final],"&gt;="&amp;'Mapa Contratos'!AB$9)</f>
        <v>0</v>
      </c>
      <c r="AC16" s="77">
        <f>COUNTIFS(Tabela_Reservas[Unidade],'Mapa Contratos'!$A16,Tabela_Reservas[Período Inicial],"&lt;="&amp;'Mapa Contratos'!AC$9,Tabela_Reservas[Período Final],"&gt;="&amp;'Mapa Contratos'!AC$9)</f>
        <v>0</v>
      </c>
      <c r="AD16" s="77">
        <f>COUNTIFS(Tabela_Reservas[Unidade],'Mapa Contratos'!$A16,Tabela_Reservas[Período Inicial],"&lt;="&amp;'Mapa Contratos'!AD$9,Tabela_Reservas[Período Final],"&gt;="&amp;'Mapa Contratos'!AD$9)</f>
        <v>0</v>
      </c>
      <c r="AE16" s="77">
        <f>COUNTIFS(Tabela_Reservas[Unidade],'Mapa Contratos'!$A16,Tabela_Reservas[Período Inicial],"&lt;="&amp;'Mapa Contratos'!AE$9,Tabela_Reservas[Período Final],"&gt;="&amp;'Mapa Contratos'!AE$9)</f>
        <v>0</v>
      </c>
      <c r="AF16" s="77">
        <f>COUNTIFS(Tabela_Reservas[Unidade],'Mapa Contratos'!$A16,Tabela_Reservas[Período Inicial],"&lt;="&amp;'Mapa Contratos'!AF$9,Tabela_Reservas[Período Final],"&gt;="&amp;'Mapa Contratos'!AF$9)</f>
        <v>0</v>
      </c>
    </row>
    <row r="17" spans="1:32" x14ac:dyDescent="0.35">
      <c r="A17" s="73" t="str">
        <f>Unidades!A11</f>
        <v>U1C7</v>
      </c>
      <c r="B17" s="71"/>
      <c r="C17" s="77">
        <f>COUNTIFS(Tabela_Reservas[Unidade],'Mapa Contratos'!$A17,Tabela_Reservas[Período Inicial],"&lt;="&amp;'Mapa Contratos'!C$9,Tabela_Reservas[Período Final],"&gt;="&amp;'Mapa Contratos'!C$9)</f>
        <v>0</v>
      </c>
      <c r="D17" s="77">
        <f>COUNTIFS(Tabela_Reservas[Unidade],'Mapa Contratos'!$A17,Tabela_Reservas[Período Inicial],"&lt;="&amp;'Mapa Contratos'!D$9,Tabela_Reservas[Período Final],"&gt;="&amp;'Mapa Contratos'!D$9)</f>
        <v>0</v>
      </c>
      <c r="E17" s="77">
        <f>COUNTIFS(Tabela_Reservas[Unidade],'Mapa Contratos'!$A17,Tabela_Reservas[Período Inicial],"&lt;="&amp;'Mapa Contratos'!E$9,Tabela_Reservas[Período Final],"&gt;="&amp;'Mapa Contratos'!E$9)</f>
        <v>0</v>
      </c>
      <c r="F17" s="77">
        <f>COUNTIFS(Tabela_Reservas[Unidade],'Mapa Contratos'!$A17,Tabela_Reservas[Período Inicial],"&lt;="&amp;'Mapa Contratos'!F$9,Tabela_Reservas[Período Final],"&gt;="&amp;'Mapa Contratos'!F$9)</f>
        <v>0</v>
      </c>
      <c r="G17" s="77">
        <f>COUNTIFS(Tabela_Reservas[Unidade],'Mapa Contratos'!$A17,Tabela_Reservas[Período Inicial],"&lt;="&amp;'Mapa Contratos'!G$9,Tabela_Reservas[Período Final],"&gt;="&amp;'Mapa Contratos'!G$9)</f>
        <v>0</v>
      </c>
      <c r="H17" s="77">
        <f>COUNTIFS(Tabela_Reservas[Unidade],'Mapa Contratos'!$A17,Tabela_Reservas[Período Inicial],"&lt;="&amp;'Mapa Contratos'!H$9,Tabela_Reservas[Período Final],"&gt;="&amp;'Mapa Contratos'!H$9)</f>
        <v>0</v>
      </c>
      <c r="I17" s="77">
        <f>COUNTIFS(Tabela_Reservas[Unidade],'Mapa Contratos'!$A17,Tabela_Reservas[Período Inicial],"&lt;="&amp;'Mapa Contratos'!I$9,Tabela_Reservas[Período Final],"&gt;="&amp;'Mapa Contratos'!I$9)</f>
        <v>0</v>
      </c>
      <c r="J17" s="77">
        <f>COUNTIFS(Tabela_Reservas[Unidade],'Mapa Contratos'!$A17,Tabela_Reservas[Período Inicial],"&lt;="&amp;'Mapa Contratos'!J$9,Tabela_Reservas[Período Final],"&gt;="&amp;'Mapa Contratos'!J$9)</f>
        <v>0</v>
      </c>
      <c r="K17" s="77">
        <f>COUNTIFS(Tabela_Reservas[Unidade],'Mapa Contratos'!$A17,Tabela_Reservas[Período Inicial],"&lt;="&amp;'Mapa Contratos'!K$9,Tabela_Reservas[Período Final],"&gt;="&amp;'Mapa Contratos'!K$9)</f>
        <v>0</v>
      </c>
      <c r="L17" s="77">
        <f>COUNTIFS(Tabela_Reservas[Unidade],'Mapa Contratos'!$A17,Tabela_Reservas[Período Inicial],"&lt;="&amp;'Mapa Contratos'!L$9,Tabela_Reservas[Período Final],"&gt;="&amp;'Mapa Contratos'!L$9)</f>
        <v>0</v>
      </c>
      <c r="M17" s="77">
        <f>COUNTIFS(Tabela_Reservas[Unidade],'Mapa Contratos'!$A17,Tabela_Reservas[Período Inicial],"&lt;="&amp;'Mapa Contratos'!M$9,Tabela_Reservas[Período Final],"&gt;="&amp;'Mapa Contratos'!M$9)</f>
        <v>0</v>
      </c>
      <c r="N17" s="77">
        <f>COUNTIFS(Tabela_Reservas[Unidade],'Mapa Contratos'!$A17,Tabela_Reservas[Período Inicial],"&lt;="&amp;'Mapa Contratos'!N$9,Tabela_Reservas[Período Final],"&gt;="&amp;'Mapa Contratos'!N$9)</f>
        <v>0</v>
      </c>
      <c r="O17" s="77">
        <f>COUNTIFS(Tabela_Reservas[Unidade],'Mapa Contratos'!$A17,Tabela_Reservas[Período Inicial],"&lt;="&amp;'Mapa Contratos'!O$9,Tabela_Reservas[Período Final],"&gt;="&amp;'Mapa Contratos'!O$9)</f>
        <v>0</v>
      </c>
      <c r="P17" s="77">
        <f>COUNTIFS(Tabela_Reservas[Unidade],'Mapa Contratos'!$A17,Tabela_Reservas[Período Inicial],"&lt;="&amp;'Mapa Contratos'!P$9,Tabela_Reservas[Período Final],"&gt;="&amp;'Mapa Contratos'!P$9)</f>
        <v>0</v>
      </c>
      <c r="Q17" s="77">
        <f>COUNTIFS(Tabela_Reservas[Unidade],'Mapa Contratos'!$A17,Tabela_Reservas[Período Inicial],"&lt;="&amp;'Mapa Contratos'!Q$9,Tabela_Reservas[Período Final],"&gt;="&amp;'Mapa Contratos'!Q$9)</f>
        <v>0</v>
      </c>
      <c r="R17" s="77">
        <f>COUNTIFS(Tabela_Reservas[Unidade],'Mapa Contratos'!$A17,Tabela_Reservas[Período Inicial],"&lt;="&amp;'Mapa Contratos'!R$9,Tabela_Reservas[Período Final],"&gt;="&amp;'Mapa Contratos'!R$9)</f>
        <v>0</v>
      </c>
      <c r="S17" s="77">
        <f>COUNTIFS(Tabela_Reservas[Unidade],'Mapa Contratos'!$A17,Tabela_Reservas[Período Inicial],"&lt;="&amp;'Mapa Contratos'!S$9,Tabela_Reservas[Período Final],"&gt;="&amp;'Mapa Contratos'!S$9)</f>
        <v>0</v>
      </c>
      <c r="T17" s="77">
        <f>COUNTIFS(Tabela_Reservas[Unidade],'Mapa Contratos'!$A17,Tabela_Reservas[Período Inicial],"&lt;="&amp;'Mapa Contratos'!T$9,Tabela_Reservas[Período Final],"&gt;="&amp;'Mapa Contratos'!T$9)</f>
        <v>0</v>
      </c>
      <c r="U17" s="77">
        <f>COUNTIFS(Tabela_Reservas[Unidade],'Mapa Contratos'!$A17,Tabela_Reservas[Período Inicial],"&lt;="&amp;'Mapa Contratos'!U$9,Tabela_Reservas[Período Final],"&gt;="&amp;'Mapa Contratos'!U$9)</f>
        <v>0</v>
      </c>
      <c r="V17" s="77">
        <f>COUNTIFS(Tabela_Reservas[Unidade],'Mapa Contratos'!$A17,Tabela_Reservas[Período Inicial],"&lt;="&amp;'Mapa Contratos'!V$9,Tabela_Reservas[Período Final],"&gt;="&amp;'Mapa Contratos'!V$9)</f>
        <v>0</v>
      </c>
      <c r="W17" s="77">
        <f>COUNTIFS(Tabela_Reservas[Unidade],'Mapa Contratos'!$A17,Tabela_Reservas[Período Inicial],"&lt;="&amp;'Mapa Contratos'!W$9,Tabela_Reservas[Período Final],"&gt;="&amp;'Mapa Contratos'!W$9)</f>
        <v>0</v>
      </c>
      <c r="X17" s="77">
        <f>COUNTIFS(Tabela_Reservas[Unidade],'Mapa Contratos'!$A17,Tabela_Reservas[Período Inicial],"&lt;="&amp;'Mapa Contratos'!X$9,Tabela_Reservas[Período Final],"&gt;="&amp;'Mapa Contratos'!X$9)</f>
        <v>0</v>
      </c>
      <c r="Y17" s="77">
        <f>COUNTIFS(Tabela_Reservas[Unidade],'Mapa Contratos'!$A17,Tabela_Reservas[Período Inicial],"&lt;="&amp;'Mapa Contratos'!Y$9,Tabela_Reservas[Período Final],"&gt;="&amp;'Mapa Contratos'!Y$9)</f>
        <v>0</v>
      </c>
      <c r="Z17" s="77">
        <f>COUNTIFS(Tabela_Reservas[Unidade],'Mapa Contratos'!$A17,Tabela_Reservas[Período Inicial],"&lt;="&amp;'Mapa Contratos'!Z$9,Tabela_Reservas[Período Final],"&gt;="&amp;'Mapa Contratos'!Z$9)</f>
        <v>0</v>
      </c>
      <c r="AA17" s="77">
        <f>COUNTIFS(Tabela_Reservas[Unidade],'Mapa Contratos'!$A17,Tabela_Reservas[Período Inicial],"&lt;="&amp;'Mapa Contratos'!AA$9,Tabela_Reservas[Período Final],"&gt;="&amp;'Mapa Contratos'!AA$9)</f>
        <v>0</v>
      </c>
      <c r="AB17" s="77">
        <f>COUNTIFS(Tabela_Reservas[Unidade],'Mapa Contratos'!$A17,Tabela_Reservas[Período Inicial],"&lt;="&amp;'Mapa Contratos'!AB$9,Tabela_Reservas[Período Final],"&gt;="&amp;'Mapa Contratos'!AB$9)</f>
        <v>0</v>
      </c>
      <c r="AC17" s="77">
        <f>COUNTIFS(Tabela_Reservas[Unidade],'Mapa Contratos'!$A17,Tabela_Reservas[Período Inicial],"&lt;="&amp;'Mapa Contratos'!AC$9,Tabela_Reservas[Período Final],"&gt;="&amp;'Mapa Contratos'!AC$9)</f>
        <v>0</v>
      </c>
      <c r="AD17" s="77">
        <f>COUNTIFS(Tabela_Reservas[Unidade],'Mapa Contratos'!$A17,Tabela_Reservas[Período Inicial],"&lt;="&amp;'Mapa Contratos'!AD$9,Tabela_Reservas[Período Final],"&gt;="&amp;'Mapa Contratos'!AD$9)</f>
        <v>0</v>
      </c>
      <c r="AE17" s="77">
        <f>COUNTIFS(Tabela_Reservas[Unidade],'Mapa Contratos'!$A17,Tabela_Reservas[Período Inicial],"&lt;="&amp;'Mapa Contratos'!AE$9,Tabela_Reservas[Período Final],"&gt;="&amp;'Mapa Contratos'!AE$9)</f>
        <v>0</v>
      </c>
      <c r="AF17" s="77">
        <f>COUNTIFS(Tabela_Reservas[Unidade],'Mapa Contratos'!$A17,Tabela_Reservas[Período Inicial],"&lt;="&amp;'Mapa Contratos'!AF$9,Tabela_Reservas[Período Final],"&gt;="&amp;'Mapa Contratos'!AF$9)</f>
        <v>0</v>
      </c>
    </row>
    <row r="18" spans="1:32" x14ac:dyDescent="0.35">
      <c r="A18" s="73" t="str">
        <f>Unidades!A12</f>
        <v>U1C8</v>
      </c>
      <c r="B18" s="71"/>
      <c r="C18" s="77">
        <f>COUNTIFS(Tabela_Reservas[Unidade],'Mapa Contratos'!$A18,Tabela_Reservas[Período Inicial],"&lt;="&amp;'Mapa Contratos'!C$9,Tabela_Reservas[Período Final],"&gt;="&amp;'Mapa Contratos'!C$9)</f>
        <v>0</v>
      </c>
      <c r="D18" s="77">
        <f>COUNTIFS(Tabela_Reservas[Unidade],'Mapa Contratos'!$A18,Tabela_Reservas[Período Inicial],"&lt;="&amp;'Mapa Contratos'!D$9,Tabela_Reservas[Período Final],"&gt;="&amp;'Mapa Contratos'!D$9)</f>
        <v>0</v>
      </c>
      <c r="E18" s="77">
        <f>COUNTIFS(Tabela_Reservas[Unidade],'Mapa Contratos'!$A18,Tabela_Reservas[Período Inicial],"&lt;="&amp;'Mapa Contratos'!E$9,Tabela_Reservas[Período Final],"&gt;="&amp;'Mapa Contratos'!E$9)</f>
        <v>0</v>
      </c>
      <c r="F18" s="77">
        <f>COUNTIFS(Tabela_Reservas[Unidade],'Mapa Contratos'!$A18,Tabela_Reservas[Período Inicial],"&lt;="&amp;'Mapa Contratos'!F$9,Tabela_Reservas[Período Final],"&gt;="&amp;'Mapa Contratos'!F$9)</f>
        <v>0</v>
      </c>
      <c r="G18" s="77">
        <f>COUNTIFS(Tabela_Reservas[Unidade],'Mapa Contratos'!$A18,Tabela_Reservas[Período Inicial],"&lt;="&amp;'Mapa Contratos'!G$9,Tabela_Reservas[Período Final],"&gt;="&amp;'Mapa Contratos'!G$9)</f>
        <v>0</v>
      </c>
      <c r="H18" s="77">
        <f>COUNTIFS(Tabela_Reservas[Unidade],'Mapa Contratos'!$A18,Tabela_Reservas[Período Inicial],"&lt;="&amp;'Mapa Contratos'!H$9,Tabela_Reservas[Período Final],"&gt;="&amp;'Mapa Contratos'!H$9)</f>
        <v>0</v>
      </c>
      <c r="I18" s="77">
        <f>COUNTIFS(Tabela_Reservas[Unidade],'Mapa Contratos'!$A18,Tabela_Reservas[Período Inicial],"&lt;="&amp;'Mapa Contratos'!I$9,Tabela_Reservas[Período Final],"&gt;="&amp;'Mapa Contratos'!I$9)</f>
        <v>0</v>
      </c>
      <c r="J18" s="77">
        <f>COUNTIFS(Tabela_Reservas[Unidade],'Mapa Contratos'!$A18,Tabela_Reservas[Período Inicial],"&lt;="&amp;'Mapa Contratos'!J$9,Tabela_Reservas[Período Final],"&gt;="&amp;'Mapa Contratos'!J$9)</f>
        <v>0</v>
      </c>
      <c r="K18" s="77">
        <f>COUNTIFS(Tabela_Reservas[Unidade],'Mapa Contratos'!$A18,Tabela_Reservas[Período Inicial],"&lt;="&amp;'Mapa Contratos'!K$9,Tabela_Reservas[Período Final],"&gt;="&amp;'Mapa Contratos'!K$9)</f>
        <v>0</v>
      </c>
      <c r="L18" s="77">
        <f>COUNTIFS(Tabela_Reservas[Unidade],'Mapa Contratos'!$A18,Tabela_Reservas[Período Inicial],"&lt;="&amp;'Mapa Contratos'!L$9,Tabela_Reservas[Período Final],"&gt;="&amp;'Mapa Contratos'!L$9)</f>
        <v>0</v>
      </c>
      <c r="M18" s="77">
        <f>COUNTIFS(Tabela_Reservas[Unidade],'Mapa Contratos'!$A18,Tabela_Reservas[Período Inicial],"&lt;="&amp;'Mapa Contratos'!M$9,Tabela_Reservas[Período Final],"&gt;="&amp;'Mapa Contratos'!M$9)</f>
        <v>0</v>
      </c>
      <c r="N18" s="77">
        <f>COUNTIFS(Tabela_Reservas[Unidade],'Mapa Contratos'!$A18,Tabela_Reservas[Período Inicial],"&lt;="&amp;'Mapa Contratos'!N$9,Tabela_Reservas[Período Final],"&gt;="&amp;'Mapa Contratos'!N$9)</f>
        <v>0</v>
      </c>
      <c r="O18" s="77">
        <f>COUNTIFS(Tabela_Reservas[Unidade],'Mapa Contratos'!$A18,Tabela_Reservas[Período Inicial],"&lt;="&amp;'Mapa Contratos'!O$9,Tabela_Reservas[Período Final],"&gt;="&amp;'Mapa Contratos'!O$9)</f>
        <v>0</v>
      </c>
      <c r="P18" s="77">
        <f>COUNTIFS(Tabela_Reservas[Unidade],'Mapa Contratos'!$A18,Tabela_Reservas[Período Inicial],"&lt;="&amp;'Mapa Contratos'!P$9,Tabela_Reservas[Período Final],"&gt;="&amp;'Mapa Contratos'!P$9)</f>
        <v>0</v>
      </c>
      <c r="Q18" s="77">
        <f>COUNTIFS(Tabela_Reservas[Unidade],'Mapa Contratos'!$A18,Tabela_Reservas[Período Inicial],"&lt;="&amp;'Mapa Contratos'!Q$9,Tabela_Reservas[Período Final],"&gt;="&amp;'Mapa Contratos'!Q$9)</f>
        <v>0</v>
      </c>
      <c r="R18" s="77">
        <f>COUNTIFS(Tabela_Reservas[Unidade],'Mapa Contratos'!$A18,Tabela_Reservas[Período Inicial],"&lt;="&amp;'Mapa Contratos'!R$9,Tabela_Reservas[Período Final],"&gt;="&amp;'Mapa Contratos'!R$9)</f>
        <v>0</v>
      </c>
      <c r="S18" s="77">
        <f>COUNTIFS(Tabela_Reservas[Unidade],'Mapa Contratos'!$A18,Tabela_Reservas[Período Inicial],"&lt;="&amp;'Mapa Contratos'!S$9,Tabela_Reservas[Período Final],"&gt;="&amp;'Mapa Contratos'!S$9)</f>
        <v>0</v>
      </c>
      <c r="T18" s="77">
        <f>COUNTIFS(Tabela_Reservas[Unidade],'Mapa Contratos'!$A18,Tabela_Reservas[Período Inicial],"&lt;="&amp;'Mapa Contratos'!T$9,Tabela_Reservas[Período Final],"&gt;="&amp;'Mapa Contratos'!T$9)</f>
        <v>0</v>
      </c>
      <c r="U18" s="77">
        <f>COUNTIFS(Tabela_Reservas[Unidade],'Mapa Contratos'!$A18,Tabela_Reservas[Período Inicial],"&lt;="&amp;'Mapa Contratos'!U$9,Tabela_Reservas[Período Final],"&gt;="&amp;'Mapa Contratos'!U$9)</f>
        <v>0</v>
      </c>
      <c r="V18" s="77">
        <f>COUNTIFS(Tabela_Reservas[Unidade],'Mapa Contratos'!$A18,Tabela_Reservas[Período Inicial],"&lt;="&amp;'Mapa Contratos'!V$9,Tabela_Reservas[Período Final],"&gt;="&amp;'Mapa Contratos'!V$9)</f>
        <v>0</v>
      </c>
      <c r="W18" s="77">
        <f>COUNTIFS(Tabela_Reservas[Unidade],'Mapa Contratos'!$A18,Tabela_Reservas[Período Inicial],"&lt;="&amp;'Mapa Contratos'!W$9,Tabela_Reservas[Período Final],"&gt;="&amp;'Mapa Contratos'!W$9)</f>
        <v>0</v>
      </c>
      <c r="X18" s="77">
        <f>COUNTIFS(Tabela_Reservas[Unidade],'Mapa Contratos'!$A18,Tabela_Reservas[Período Inicial],"&lt;="&amp;'Mapa Contratos'!X$9,Tabela_Reservas[Período Final],"&gt;="&amp;'Mapa Contratos'!X$9)</f>
        <v>0</v>
      </c>
      <c r="Y18" s="77">
        <f>COUNTIFS(Tabela_Reservas[Unidade],'Mapa Contratos'!$A18,Tabela_Reservas[Período Inicial],"&lt;="&amp;'Mapa Contratos'!Y$9,Tabela_Reservas[Período Final],"&gt;="&amp;'Mapa Contratos'!Y$9)</f>
        <v>0</v>
      </c>
      <c r="Z18" s="77">
        <f>COUNTIFS(Tabela_Reservas[Unidade],'Mapa Contratos'!$A18,Tabela_Reservas[Período Inicial],"&lt;="&amp;'Mapa Contratos'!Z$9,Tabela_Reservas[Período Final],"&gt;="&amp;'Mapa Contratos'!Z$9)</f>
        <v>0</v>
      </c>
      <c r="AA18" s="77">
        <f>COUNTIFS(Tabela_Reservas[Unidade],'Mapa Contratos'!$A18,Tabela_Reservas[Período Inicial],"&lt;="&amp;'Mapa Contratos'!AA$9,Tabela_Reservas[Período Final],"&gt;="&amp;'Mapa Contratos'!AA$9)</f>
        <v>0</v>
      </c>
      <c r="AB18" s="77">
        <f>COUNTIFS(Tabela_Reservas[Unidade],'Mapa Contratos'!$A18,Tabela_Reservas[Período Inicial],"&lt;="&amp;'Mapa Contratos'!AB$9,Tabela_Reservas[Período Final],"&gt;="&amp;'Mapa Contratos'!AB$9)</f>
        <v>0</v>
      </c>
      <c r="AC18" s="77">
        <f>COUNTIFS(Tabela_Reservas[Unidade],'Mapa Contratos'!$A18,Tabela_Reservas[Período Inicial],"&lt;="&amp;'Mapa Contratos'!AC$9,Tabela_Reservas[Período Final],"&gt;="&amp;'Mapa Contratos'!AC$9)</f>
        <v>0</v>
      </c>
      <c r="AD18" s="77">
        <f>COUNTIFS(Tabela_Reservas[Unidade],'Mapa Contratos'!$A18,Tabela_Reservas[Período Inicial],"&lt;="&amp;'Mapa Contratos'!AD$9,Tabela_Reservas[Período Final],"&gt;="&amp;'Mapa Contratos'!AD$9)</f>
        <v>0</v>
      </c>
      <c r="AE18" s="77">
        <f>COUNTIFS(Tabela_Reservas[Unidade],'Mapa Contratos'!$A18,Tabela_Reservas[Período Inicial],"&lt;="&amp;'Mapa Contratos'!AE$9,Tabela_Reservas[Período Final],"&gt;="&amp;'Mapa Contratos'!AE$9)</f>
        <v>0</v>
      </c>
      <c r="AF18" s="77">
        <f>COUNTIFS(Tabela_Reservas[Unidade],'Mapa Contratos'!$A18,Tabela_Reservas[Período Inicial],"&lt;="&amp;'Mapa Contratos'!AF$9,Tabela_Reservas[Período Final],"&gt;="&amp;'Mapa Contratos'!AF$9)</f>
        <v>0</v>
      </c>
    </row>
    <row r="19" spans="1:32" x14ac:dyDescent="0.35">
      <c r="A19" s="73" t="str">
        <f>Unidades!A13</f>
        <v>U1C9</v>
      </c>
      <c r="B19" s="71"/>
      <c r="C19" s="77">
        <f>COUNTIFS(Tabela_Reservas[Unidade],'Mapa Contratos'!$A19,Tabela_Reservas[Período Inicial],"&lt;="&amp;'Mapa Contratos'!C$9,Tabela_Reservas[Período Final],"&gt;="&amp;'Mapa Contratos'!C$9)</f>
        <v>0</v>
      </c>
      <c r="D19" s="77">
        <f>COUNTIFS(Tabela_Reservas[Unidade],'Mapa Contratos'!$A19,Tabela_Reservas[Período Inicial],"&lt;="&amp;'Mapa Contratos'!D$9,Tabela_Reservas[Período Final],"&gt;="&amp;'Mapa Contratos'!D$9)</f>
        <v>0</v>
      </c>
      <c r="E19" s="77">
        <f>COUNTIFS(Tabela_Reservas[Unidade],'Mapa Contratos'!$A19,Tabela_Reservas[Período Inicial],"&lt;="&amp;'Mapa Contratos'!E$9,Tabela_Reservas[Período Final],"&gt;="&amp;'Mapa Contratos'!E$9)</f>
        <v>0</v>
      </c>
      <c r="F19" s="77">
        <f>COUNTIFS(Tabela_Reservas[Unidade],'Mapa Contratos'!$A19,Tabela_Reservas[Período Inicial],"&lt;="&amp;'Mapa Contratos'!F$9,Tabela_Reservas[Período Final],"&gt;="&amp;'Mapa Contratos'!F$9)</f>
        <v>0</v>
      </c>
      <c r="G19" s="77">
        <f>COUNTIFS(Tabela_Reservas[Unidade],'Mapa Contratos'!$A19,Tabela_Reservas[Período Inicial],"&lt;="&amp;'Mapa Contratos'!G$9,Tabela_Reservas[Período Final],"&gt;="&amp;'Mapa Contratos'!G$9)</f>
        <v>0</v>
      </c>
      <c r="H19" s="77">
        <f>COUNTIFS(Tabela_Reservas[Unidade],'Mapa Contratos'!$A19,Tabela_Reservas[Período Inicial],"&lt;="&amp;'Mapa Contratos'!H$9,Tabela_Reservas[Período Final],"&gt;="&amp;'Mapa Contratos'!H$9)</f>
        <v>0</v>
      </c>
      <c r="I19" s="77">
        <f>COUNTIFS(Tabela_Reservas[Unidade],'Mapa Contratos'!$A19,Tabela_Reservas[Período Inicial],"&lt;="&amp;'Mapa Contratos'!I$9,Tabela_Reservas[Período Final],"&gt;="&amp;'Mapa Contratos'!I$9)</f>
        <v>0</v>
      </c>
      <c r="J19" s="77">
        <f>COUNTIFS(Tabela_Reservas[Unidade],'Mapa Contratos'!$A19,Tabela_Reservas[Período Inicial],"&lt;="&amp;'Mapa Contratos'!J$9,Tabela_Reservas[Período Final],"&gt;="&amp;'Mapa Contratos'!J$9)</f>
        <v>0</v>
      </c>
      <c r="K19" s="77">
        <f>COUNTIFS(Tabela_Reservas[Unidade],'Mapa Contratos'!$A19,Tabela_Reservas[Período Inicial],"&lt;="&amp;'Mapa Contratos'!K$9,Tabela_Reservas[Período Final],"&gt;="&amp;'Mapa Contratos'!K$9)</f>
        <v>0</v>
      </c>
      <c r="L19" s="77">
        <f>COUNTIFS(Tabela_Reservas[Unidade],'Mapa Contratos'!$A19,Tabela_Reservas[Período Inicial],"&lt;="&amp;'Mapa Contratos'!L$9,Tabela_Reservas[Período Final],"&gt;="&amp;'Mapa Contratos'!L$9)</f>
        <v>0</v>
      </c>
      <c r="M19" s="77">
        <f>COUNTIFS(Tabela_Reservas[Unidade],'Mapa Contratos'!$A19,Tabela_Reservas[Período Inicial],"&lt;="&amp;'Mapa Contratos'!M$9,Tabela_Reservas[Período Final],"&gt;="&amp;'Mapa Contratos'!M$9)</f>
        <v>0</v>
      </c>
      <c r="N19" s="77">
        <f>COUNTIFS(Tabela_Reservas[Unidade],'Mapa Contratos'!$A19,Tabela_Reservas[Período Inicial],"&lt;="&amp;'Mapa Contratos'!N$9,Tabela_Reservas[Período Final],"&gt;="&amp;'Mapa Contratos'!N$9)</f>
        <v>0</v>
      </c>
      <c r="O19" s="77">
        <f>COUNTIFS(Tabela_Reservas[Unidade],'Mapa Contratos'!$A19,Tabela_Reservas[Período Inicial],"&lt;="&amp;'Mapa Contratos'!O$9,Tabela_Reservas[Período Final],"&gt;="&amp;'Mapa Contratos'!O$9)</f>
        <v>0</v>
      </c>
      <c r="P19" s="77">
        <f>COUNTIFS(Tabela_Reservas[Unidade],'Mapa Contratos'!$A19,Tabela_Reservas[Período Inicial],"&lt;="&amp;'Mapa Contratos'!P$9,Tabela_Reservas[Período Final],"&gt;="&amp;'Mapa Contratos'!P$9)</f>
        <v>0</v>
      </c>
      <c r="Q19" s="77">
        <f>COUNTIFS(Tabela_Reservas[Unidade],'Mapa Contratos'!$A19,Tabela_Reservas[Período Inicial],"&lt;="&amp;'Mapa Contratos'!Q$9,Tabela_Reservas[Período Final],"&gt;="&amp;'Mapa Contratos'!Q$9)</f>
        <v>0</v>
      </c>
      <c r="R19" s="77">
        <f>COUNTIFS(Tabela_Reservas[Unidade],'Mapa Contratos'!$A19,Tabela_Reservas[Período Inicial],"&lt;="&amp;'Mapa Contratos'!R$9,Tabela_Reservas[Período Final],"&gt;="&amp;'Mapa Contratos'!R$9)</f>
        <v>0</v>
      </c>
      <c r="S19" s="77">
        <f>COUNTIFS(Tabela_Reservas[Unidade],'Mapa Contratos'!$A19,Tabela_Reservas[Período Inicial],"&lt;="&amp;'Mapa Contratos'!S$9,Tabela_Reservas[Período Final],"&gt;="&amp;'Mapa Contratos'!S$9)</f>
        <v>0</v>
      </c>
      <c r="T19" s="77">
        <f>COUNTIFS(Tabela_Reservas[Unidade],'Mapa Contratos'!$A19,Tabela_Reservas[Período Inicial],"&lt;="&amp;'Mapa Contratos'!T$9,Tabela_Reservas[Período Final],"&gt;="&amp;'Mapa Contratos'!T$9)</f>
        <v>0</v>
      </c>
      <c r="U19" s="77">
        <f>COUNTIFS(Tabela_Reservas[Unidade],'Mapa Contratos'!$A19,Tabela_Reservas[Período Inicial],"&lt;="&amp;'Mapa Contratos'!U$9,Tabela_Reservas[Período Final],"&gt;="&amp;'Mapa Contratos'!U$9)</f>
        <v>0</v>
      </c>
      <c r="V19" s="77">
        <f>COUNTIFS(Tabela_Reservas[Unidade],'Mapa Contratos'!$A19,Tabela_Reservas[Período Inicial],"&lt;="&amp;'Mapa Contratos'!V$9,Tabela_Reservas[Período Final],"&gt;="&amp;'Mapa Contratos'!V$9)</f>
        <v>0</v>
      </c>
      <c r="W19" s="77">
        <f>COUNTIFS(Tabela_Reservas[Unidade],'Mapa Contratos'!$A19,Tabela_Reservas[Período Inicial],"&lt;="&amp;'Mapa Contratos'!W$9,Tabela_Reservas[Período Final],"&gt;="&amp;'Mapa Contratos'!W$9)</f>
        <v>0</v>
      </c>
      <c r="X19" s="77">
        <f>COUNTIFS(Tabela_Reservas[Unidade],'Mapa Contratos'!$A19,Tabela_Reservas[Período Inicial],"&lt;="&amp;'Mapa Contratos'!X$9,Tabela_Reservas[Período Final],"&gt;="&amp;'Mapa Contratos'!X$9)</f>
        <v>0</v>
      </c>
      <c r="Y19" s="77">
        <f>COUNTIFS(Tabela_Reservas[Unidade],'Mapa Contratos'!$A19,Tabela_Reservas[Período Inicial],"&lt;="&amp;'Mapa Contratos'!Y$9,Tabela_Reservas[Período Final],"&gt;="&amp;'Mapa Contratos'!Y$9)</f>
        <v>0</v>
      </c>
      <c r="Z19" s="77">
        <f>COUNTIFS(Tabela_Reservas[Unidade],'Mapa Contratos'!$A19,Tabela_Reservas[Período Inicial],"&lt;="&amp;'Mapa Contratos'!Z$9,Tabela_Reservas[Período Final],"&gt;="&amp;'Mapa Contratos'!Z$9)</f>
        <v>0</v>
      </c>
      <c r="AA19" s="77">
        <f>COUNTIFS(Tabela_Reservas[Unidade],'Mapa Contratos'!$A19,Tabela_Reservas[Período Inicial],"&lt;="&amp;'Mapa Contratos'!AA$9,Tabela_Reservas[Período Final],"&gt;="&amp;'Mapa Contratos'!AA$9)</f>
        <v>0</v>
      </c>
      <c r="AB19" s="77">
        <f>COUNTIFS(Tabela_Reservas[Unidade],'Mapa Contratos'!$A19,Tabela_Reservas[Período Inicial],"&lt;="&amp;'Mapa Contratos'!AB$9,Tabela_Reservas[Período Final],"&gt;="&amp;'Mapa Contratos'!AB$9)</f>
        <v>0</v>
      </c>
      <c r="AC19" s="77">
        <f>COUNTIFS(Tabela_Reservas[Unidade],'Mapa Contratos'!$A19,Tabela_Reservas[Período Inicial],"&lt;="&amp;'Mapa Contratos'!AC$9,Tabela_Reservas[Período Final],"&gt;="&amp;'Mapa Contratos'!AC$9)</f>
        <v>0</v>
      </c>
      <c r="AD19" s="77">
        <f>COUNTIFS(Tabela_Reservas[Unidade],'Mapa Contratos'!$A19,Tabela_Reservas[Período Inicial],"&lt;="&amp;'Mapa Contratos'!AD$9,Tabela_Reservas[Período Final],"&gt;="&amp;'Mapa Contratos'!AD$9)</f>
        <v>0</v>
      </c>
      <c r="AE19" s="77">
        <f>COUNTIFS(Tabela_Reservas[Unidade],'Mapa Contratos'!$A19,Tabela_Reservas[Período Inicial],"&lt;="&amp;'Mapa Contratos'!AE$9,Tabela_Reservas[Período Final],"&gt;="&amp;'Mapa Contratos'!AE$9)</f>
        <v>0</v>
      </c>
      <c r="AF19" s="77">
        <f>COUNTIFS(Tabela_Reservas[Unidade],'Mapa Contratos'!$A19,Tabela_Reservas[Período Inicial],"&lt;="&amp;'Mapa Contratos'!AF$9,Tabela_Reservas[Período Final],"&gt;="&amp;'Mapa Contratos'!AF$9)</f>
        <v>0</v>
      </c>
    </row>
    <row r="20" spans="1:32" x14ac:dyDescent="0.35">
      <c r="A20" s="73" t="str">
        <f>Unidades!A14</f>
        <v>U1C10</v>
      </c>
      <c r="B20" s="71"/>
      <c r="C20" s="77">
        <f>COUNTIFS(Tabela_Reservas[Unidade],'Mapa Contratos'!$A20,Tabela_Reservas[Período Inicial],"&lt;="&amp;'Mapa Contratos'!C$9,Tabela_Reservas[Período Final],"&gt;="&amp;'Mapa Contratos'!C$9)</f>
        <v>0</v>
      </c>
      <c r="D20" s="77">
        <f>COUNTIFS(Tabela_Reservas[Unidade],'Mapa Contratos'!$A20,Tabela_Reservas[Período Inicial],"&lt;="&amp;'Mapa Contratos'!D$9,Tabela_Reservas[Período Final],"&gt;="&amp;'Mapa Contratos'!D$9)</f>
        <v>0</v>
      </c>
      <c r="E20" s="77">
        <f>COUNTIFS(Tabela_Reservas[Unidade],'Mapa Contratos'!$A20,Tabela_Reservas[Período Inicial],"&lt;="&amp;'Mapa Contratos'!E$9,Tabela_Reservas[Período Final],"&gt;="&amp;'Mapa Contratos'!E$9)</f>
        <v>0</v>
      </c>
      <c r="F20" s="77">
        <f>COUNTIFS(Tabela_Reservas[Unidade],'Mapa Contratos'!$A20,Tabela_Reservas[Período Inicial],"&lt;="&amp;'Mapa Contratos'!F$9,Tabela_Reservas[Período Final],"&gt;="&amp;'Mapa Contratos'!F$9)</f>
        <v>0</v>
      </c>
      <c r="G20" s="77">
        <f>COUNTIFS(Tabela_Reservas[Unidade],'Mapa Contratos'!$A20,Tabela_Reservas[Período Inicial],"&lt;="&amp;'Mapa Contratos'!G$9,Tabela_Reservas[Período Final],"&gt;="&amp;'Mapa Contratos'!G$9)</f>
        <v>0</v>
      </c>
      <c r="H20" s="77">
        <f>COUNTIFS(Tabela_Reservas[Unidade],'Mapa Contratos'!$A20,Tabela_Reservas[Período Inicial],"&lt;="&amp;'Mapa Contratos'!H$9,Tabela_Reservas[Período Final],"&gt;="&amp;'Mapa Contratos'!H$9)</f>
        <v>0</v>
      </c>
      <c r="I20" s="77">
        <f>COUNTIFS(Tabela_Reservas[Unidade],'Mapa Contratos'!$A20,Tabela_Reservas[Período Inicial],"&lt;="&amp;'Mapa Contratos'!I$9,Tabela_Reservas[Período Final],"&gt;="&amp;'Mapa Contratos'!I$9)</f>
        <v>0</v>
      </c>
      <c r="J20" s="77">
        <f>COUNTIFS(Tabela_Reservas[Unidade],'Mapa Contratos'!$A20,Tabela_Reservas[Período Inicial],"&lt;="&amp;'Mapa Contratos'!J$9,Tabela_Reservas[Período Final],"&gt;="&amp;'Mapa Contratos'!J$9)</f>
        <v>0</v>
      </c>
      <c r="K20" s="77">
        <f>COUNTIFS(Tabela_Reservas[Unidade],'Mapa Contratos'!$A20,Tabela_Reservas[Período Inicial],"&lt;="&amp;'Mapa Contratos'!K$9,Tabela_Reservas[Período Final],"&gt;="&amp;'Mapa Contratos'!K$9)</f>
        <v>0</v>
      </c>
      <c r="L20" s="77">
        <f>COUNTIFS(Tabela_Reservas[Unidade],'Mapa Contratos'!$A20,Tabela_Reservas[Período Inicial],"&lt;="&amp;'Mapa Contratos'!L$9,Tabela_Reservas[Período Final],"&gt;="&amp;'Mapa Contratos'!L$9)</f>
        <v>0</v>
      </c>
      <c r="M20" s="77">
        <f>COUNTIFS(Tabela_Reservas[Unidade],'Mapa Contratos'!$A20,Tabela_Reservas[Período Inicial],"&lt;="&amp;'Mapa Contratos'!M$9,Tabela_Reservas[Período Final],"&gt;="&amp;'Mapa Contratos'!M$9)</f>
        <v>0</v>
      </c>
      <c r="N20" s="77">
        <f>COUNTIFS(Tabela_Reservas[Unidade],'Mapa Contratos'!$A20,Tabela_Reservas[Período Inicial],"&lt;="&amp;'Mapa Contratos'!N$9,Tabela_Reservas[Período Final],"&gt;="&amp;'Mapa Contratos'!N$9)</f>
        <v>0</v>
      </c>
      <c r="O20" s="77">
        <f>COUNTIFS(Tabela_Reservas[Unidade],'Mapa Contratos'!$A20,Tabela_Reservas[Período Inicial],"&lt;="&amp;'Mapa Contratos'!O$9,Tabela_Reservas[Período Final],"&gt;="&amp;'Mapa Contratos'!O$9)</f>
        <v>0</v>
      </c>
      <c r="P20" s="77">
        <f>COUNTIFS(Tabela_Reservas[Unidade],'Mapa Contratos'!$A20,Tabela_Reservas[Período Inicial],"&lt;="&amp;'Mapa Contratos'!P$9,Tabela_Reservas[Período Final],"&gt;="&amp;'Mapa Contratos'!P$9)</f>
        <v>0</v>
      </c>
      <c r="Q20" s="77">
        <f>COUNTIFS(Tabela_Reservas[Unidade],'Mapa Contratos'!$A20,Tabela_Reservas[Período Inicial],"&lt;="&amp;'Mapa Contratos'!Q$9,Tabela_Reservas[Período Final],"&gt;="&amp;'Mapa Contratos'!Q$9)</f>
        <v>0</v>
      </c>
      <c r="R20" s="77">
        <f>COUNTIFS(Tabela_Reservas[Unidade],'Mapa Contratos'!$A20,Tabela_Reservas[Período Inicial],"&lt;="&amp;'Mapa Contratos'!R$9,Tabela_Reservas[Período Final],"&gt;="&amp;'Mapa Contratos'!R$9)</f>
        <v>0</v>
      </c>
      <c r="S20" s="77">
        <f>COUNTIFS(Tabela_Reservas[Unidade],'Mapa Contratos'!$A20,Tabela_Reservas[Período Inicial],"&lt;="&amp;'Mapa Contratos'!S$9,Tabela_Reservas[Período Final],"&gt;="&amp;'Mapa Contratos'!S$9)</f>
        <v>0</v>
      </c>
      <c r="T20" s="77">
        <f>COUNTIFS(Tabela_Reservas[Unidade],'Mapa Contratos'!$A20,Tabela_Reservas[Período Inicial],"&lt;="&amp;'Mapa Contratos'!T$9,Tabela_Reservas[Período Final],"&gt;="&amp;'Mapa Contratos'!T$9)</f>
        <v>0</v>
      </c>
      <c r="U20" s="77">
        <f>COUNTIFS(Tabela_Reservas[Unidade],'Mapa Contratos'!$A20,Tabela_Reservas[Período Inicial],"&lt;="&amp;'Mapa Contratos'!U$9,Tabela_Reservas[Período Final],"&gt;="&amp;'Mapa Contratos'!U$9)</f>
        <v>0</v>
      </c>
      <c r="V20" s="77">
        <f>COUNTIFS(Tabela_Reservas[Unidade],'Mapa Contratos'!$A20,Tabela_Reservas[Período Inicial],"&lt;="&amp;'Mapa Contratos'!V$9,Tabela_Reservas[Período Final],"&gt;="&amp;'Mapa Contratos'!V$9)</f>
        <v>0</v>
      </c>
      <c r="W20" s="77">
        <f>COUNTIFS(Tabela_Reservas[Unidade],'Mapa Contratos'!$A20,Tabela_Reservas[Período Inicial],"&lt;="&amp;'Mapa Contratos'!W$9,Tabela_Reservas[Período Final],"&gt;="&amp;'Mapa Contratos'!W$9)</f>
        <v>0</v>
      </c>
      <c r="X20" s="77">
        <f>COUNTIFS(Tabela_Reservas[Unidade],'Mapa Contratos'!$A20,Tabela_Reservas[Período Inicial],"&lt;="&amp;'Mapa Contratos'!X$9,Tabela_Reservas[Período Final],"&gt;="&amp;'Mapa Contratos'!X$9)</f>
        <v>0</v>
      </c>
      <c r="Y20" s="77">
        <f>COUNTIFS(Tabela_Reservas[Unidade],'Mapa Contratos'!$A20,Tabela_Reservas[Período Inicial],"&lt;="&amp;'Mapa Contratos'!Y$9,Tabela_Reservas[Período Final],"&gt;="&amp;'Mapa Contratos'!Y$9)</f>
        <v>0</v>
      </c>
      <c r="Z20" s="77">
        <f>COUNTIFS(Tabela_Reservas[Unidade],'Mapa Contratos'!$A20,Tabela_Reservas[Período Inicial],"&lt;="&amp;'Mapa Contratos'!Z$9,Tabela_Reservas[Período Final],"&gt;="&amp;'Mapa Contratos'!Z$9)</f>
        <v>0</v>
      </c>
      <c r="AA20" s="77">
        <f>COUNTIFS(Tabela_Reservas[Unidade],'Mapa Contratos'!$A20,Tabela_Reservas[Período Inicial],"&lt;="&amp;'Mapa Contratos'!AA$9,Tabela_Reservas[Período Final],"&gt;="&amp;'Mapa Contratos'!AA$9)</f>
        <v>0</v>
      </c>
      <c r="AB20" s="77">
        <f>COUNTIFS(Tabela_Reservas[Unidade],'Mapa Contratos'!$A20,Tabela_Reservas[Período Inicial],"&lt;="&amp;'Mapa Contratos'!AB$9,Tabela_Reservas[Período Final],"&gt;="&amp;'Mapa Contratos'!AB$9)</f>
        <v>0</v>
      </c>
      <c r="AC20" s="77">
        <f>COUNTIFS(Tabela_Reservas[Unidade],'Mapa Contratos'!$A20,Tabela_Reservas[Período Inicial],"&lt;="&amp;'Mapa Contratos'!AC$9,Tabela_Reservas[Período Final],"&gt;="&amp;'Mapa Contratos'!AC$9)</f>
        <v>0</v>
      </c>
      <c r="AD20" s="77">
        <f>COUNTIFS(Tabela_Reservas[Unidade],'Mapa Contratos'!$A20,Tabela_Reservas[Período Inicial],"&lt;="&amp;'Mapa Contratos'!AD$9,Tabela_Reservas[Período Final],"&gt;="&amp;'Mapa Contratos'!AD$9)</f>
        <v>0</v>
      </c>
      <c r="AE20" s="77">
        <f>COUNTIFS(Tabela_Reservas[Unidade],'Mapa Contratos'!$A20,Tabela_Reservas[Período Inicial],"&lt;="&amp;'Mapa Contratos'!AE$9,Tabela_Reservas[Período Final],"&gt;="&amp;'Mapa Contratos'!AE$9)</f>
        <v>0</v>
      </c>
      <c r="AF20" s="77">
        <f>COUNTIFS(Tabela_Reservas[Unidade],'Mapa Contratos'!$A20,Tabela_Reservas[Período Inicial],"&lt;="&amp;'Mapa Contratos'!AF$9,Tabela_Reservas[Período Final],"&gt;="&amp;'Mapa Contratos'!AF$9)</f>
        <v>0</v>
      </c>
    </row>
    <row r="21" spans="1:32" x14ac:dyDescent="0.35">
      <c r="A21" s="73" t="str">
        <f>Unidades!A15</f>
        <v>U1C11</v>
      </c>
      <c r="B21" s="71"/>
      <c r="C21" s="77">
        <f>COUNTIFS(Tabela_Reservas[Unidade],'Mapa Contratos'!$A21,Tabela_Reservas[Período Inicial],"&lt;="&amp;'Mapa Contratos'!C$9,Tabela_Reservas[Período Final],"&gt;="&amp;'Mapa Contratos'!C$9)</f>
        <v>0</v>
      </c>
      <c r="D21" s="77">
        <f>COUNTIFS(Tabela_Reservas[Unidade],'Mapa Contratos'!$A21,Tabela_Reservas[Período Inicial],"&lt;="&amp;'Mapa Contratos'!D$9,Tabela_Reservas[Período Final],"&gt;="&amp;'Mapa Contratos'!D$9)</f>
        <v>0</v>
      </c>
      <c r="E21" s="77">
        <f>COUNTIFS(Tabela_Reservas[Unidade],'Mapa Contratos'!$A21,Tabela_Reservas[Período Inicial],"&lt;="&amp;'Mapa Contratos'!E$9,Tabela_Reservas[Período Final],"&gt;="&amp;'Mapa Contratos'!E$9)</f>
        <v>0</v>
      </c>
      <c r="F21" s="77">
        <f>COUNTIFS(Tabela_Reservas[Unidade],'Mapa Contratos'!$A21,Tabela_Reservas[Período Inicial],"&lt;="&amp;'Mapa Contratos'!F$9,Tabela_Reservas[Período Final],"&gt;="&amp;'Mapa Contratos'!F$9)</f>
        <v>0</v>
      </c>
      <c r="G21" s="77">
        <f>COUNTIFS(Tabela_Reservas[Unidade],'Mapa Contratos'!$A21,Tabela_Reservas[Período Inicial],"&lt;="&amp;'Mapa Contratos'!G$9,Tabela_Reservas[Período Final],"&gt;="&amp;'Mapa Contratos'!G$9)</f>
        <v>0</v>
      </c>
      <c r="H21" s="77">
        <f>COUNTIFS(Tabela_Reservas[Unidade],'Mapa Contratos'!$A21,Tabela_Reservas[Período Inicial],"&lt;="&amp;'Mapa Contratos'!H$9,Tabela_Reservas[Período Final],"&gt;="&amp;'Mapa Contratos'!H$9)</f>
        <v>0</v>
      </c>
      <c r="I21" s="77">
        <f>COUNTIFS(Tabela_Reservas[Unidade],'Mapa Contratos'!$A21,Tabela_Reservas[Período Inicial],"&lt;="&amp;'Mapa Contratos'!I$9,Tabela_Reservas[Período Final],"&gt;="&amp;'Mapa Contratos'!I$9)</f>
        <v>0</v>
      </c>
      <c r="J21" s="77">
        <f>COUNTIFS(Tabela_Reservas[Unidade],'Mapa Contratos'!$A21,Tabela_Reservas[Período Inicial],"&lt;="&amp;'Mapa Contratos'!J$9,Tabela_Reservas[Período Final],"&gt;="&amp;'Mapa Contratos'!J$9)</f>
        <v>0</v>
      </c>
      <c r="K21" s="77">
        <f>COUNTIFS(Tabela_Reservas[Unidade],'Mapa Contratos'!$A21,Tabela_Reservas[Período Inicial],"&lt;="&amp;'Mapa Contratos'!K$9,Tabela_Reservas[Período Final],"&gt;="&amp;'Mapa Contratos'!K$9)</f>
        <v>0</v>
      </c>
      <c r="L21" s="77">
        <f>COUNTIFS(Tabela_Reservas[Unidade],'Mapa Contratos'!$A21,Tabela_Reservas[Período Inicial],"&lt;="&amp;'Mapa Contratos'!L$9,Tabela_Reservas[Período Final],"&gt;="&amp;'Mapa Contratos'!L$9)</f>
        <v>0</v>
      </c>
      <c r="M21" s="77">
        <f>COUNTIFS(Tabela_Reservas[Unidade],'Mapa Contratos'!$A21,Tabela_Reservas[Período Inicial],"&lt;="&amp;'Mapa Contratos'!M$9,Tabela_Reservas[Período Final],"&gt;="&amp;'Mapa Contratos'!M$9)</f>
        <v>0</v>
      </c>
      <c r="N21" s="77">
        <f>COUNTIFS(Tabela_Reservas[Unidade],'Mapa Contratos'!$A21,Tabela_Reservas[Período Inicial],"&lt;="&amp;'Mapa Contratos'!N$9,Tabela_Reservas[Período Final],"&gt;="&amp;'Mapa Contratos'!N$9)</f>
        <v>0</v>
      </c>
      <c r="O21" s="77">
        <f>COUNTIFS(Tabela_Reservas[Unidade],'Mapa Contratos'!$A21,Tabela_Reservas[Período Inicial],"&lt;="&amp;'Mapa Contratos'!O$9,Tabela_Reservas[Período Final],"&gt;="&amp;'Mapa Contratos'!O$9)</f>
        <v>0</v>
      </c>
      <c r="P21" s="77">
        <f>COUNTIFS(Tabela_Reservas[Unidade],'Mapa Contratos'!$A21,Tabela_Reservas[Período Inicial],"&lt;="&amp;'Mapa Contratos'!P$9,Tabela_Reservas[Período Final],"&gt;="&amp;'Mapa Contratos'!P$9)</f>
        <v>0</v>
      </c>
      <c r="Q21" s="77">
        <f>COUNTIFS(Tabela_Reservas[Unidade],'Mapa Contratos'!$A21,Tabela_Reservas[Período Inicial],"&lt;="&amp;'Mapa Contratos'!Q$9,Tabela_Reservas[Período Final],"&gt;="&amp;'Mapa Contratos'!Q$9)</f>
        <v>0</v>
      </c>
      <c r="R21" s="77">
        <f>COUNTIFS(Tabela_Reservas[Unidade],'Mapa Contratos'!$A21,Tabela_Reservas[Período Inicial],"&lt;="&amp;'Mapa Contratos'!R$9,Tabela_Reservas[Período Final],"&gt;="&amp;'Mapa Contratos'!R$9)</f>
        <v>0</v>
      </c>
      <c r="S21" s="77">
        <f>COUNTIFS(Tabela_Reservas[Unidade],'Mapa Contratos'!$A21,Tabela_Reservas[Período Inicial],"&lt;="&amp;'Mapa Contratos'!S$9,Tabela_Reservas[Período Final],"&gt;="&amp;'Mapa Contratos'!S$9)</f>
        <v>0</v>
      </c>
      <c r="T21" s="77">
        <f>COUNTIFS(Tabela_Reservas[Unidade],'Mapa Contratos'!$A21,Tabela_Reservas[Período Inicial],"&lt;="&amp;'Mapa Contratos'!T$9,Tabela_Reservas[Período Final],"&gt;="&amp;'Mapa Contratos'!T$9)</f>
        <v>0</v>
      </c>
      <c r="U21" s="77">
        <f>COUNTIFS(Tabela_Reservas[Unidade],'Mapa Contratos'!$A21,Tabela_Reservas[Período Inicial],"&lt;="&amp;'Mapa Contratos'!U$9,Tabela_Reservas[Período Final],"&gt;="&amp;'Mapa Contratos'!U$9)</f>
        <v>0</v>
      </c>
      <c r="V21" s="77">
        <f>COUNTIFS(Tabela_Reservas[Unidade],'Mapa Contratos'!$A21,Tabela_Reservas[Período Inicial],"&lt;="&amp;'Mapa Contratos'!V$9,Tabela_Reservas[Período Final],"&gt;="&amp;'Mapa Contratos'!V$9)</f>
        <v>0</v>
      </c>
      <c r="W21" s="77">
        <f>COUNTIFS(Tabela_Reservas[Unidade],'Mapa Contratos'!$A21,Tabela_Reservas[Período Inicial],"&lt;="&amp;'Mapa Contratos'!W$9,Tabela_Reservas[Período Final],"&gt;="&amp;'Mapa Contratos'!W$9)</f>
        <v>0</v>
      </c>
      <c r="X21" s="77">
        <f>COUNTIFS(Tabela_Reservas[Unidade],'Mapa Contratos'!$A21,Tabela_Reservas[Período Inicial],"&lt;="&amp;'Mapa Contratos'!X$9,Tabela_Reservas[Período Final],"&gt;="&amp;'Mapa Contratos'!X$9)</f>
        <v>0</v>
      </c>
      <c r="Y21" s="77">
        <f>COUNTIFS(Tabela_Reservas[Unidade],'Mapa Contratos'!$A21,Tabela_Reservas[Período Inicial],"&lt;="&amp;'Mapa Contratos'!Y$9,Tabela_Reservas[Período Final],"&gt;="&amp;'Mapa Contratos'!Y$9)</f>
        <v>0</v>
      </c>
      <c r="Z21" s="77">
        <f>COUNTIFS(Tabela_Reservas[Unidade],'Mapa Contratos'!$A21,Tabela_Reservas[Período Inicial],"&lt;="&amp;'Mapa Contratos'!Z$9,Tabela_Reservas[Período Final],"&gt;="&amp;'Mapa Contratos'!Z$9)</f>
        <v>0</v>
      </c>
      <c r="AA21" s="77">
        <f>COUNTIFS(Tabela_Reservas[Unidade],'Mapa Contratos'!$A21,Tabela_Reservas[Período Inicial],"&lt;="&amp;'Mapa Contratos'!AA$9,Tabela_Reservas[Período Final],"&gt;="&amp;'Mapa Contratos'!AA$9)</f>
        <v>0</v>
      </c>
      <c r="AB21" s="77">
        <f>COUNTIFS(Tabela_Reservas[Unidade],'Mapa Contratos'!$A21,Tabela_Reservas[Período Inicial],"&lt;="&amp;'Mapa Contratos'!AB$9,Tabela_Reservas[Período Final],"&gt;="&amp;'Mapa Contratos'!AB$9)</f>
        <v>0</v>
      </c>
      <c r="AC21" s="77">
        <f>COUNTIFS(Tabela_Reservas[Unidade],'Mapa Contratos'!$A21,Tabela_Reservas[Período Inicial],"&lt;="&amp;'Mapa Contratos'!AC$9,Tabela_Reservas[Período Final],"&gt;="&amp;'Mapa Contratos'!AC$9)</f>
        <v>0</v>
      </c>
      <c r="AD21" s="77">
        <f>COUNTIFS(Tabela_Reservas[Unidade],'Mapa Contratos'!$A21,Tabela_Reservas[Período Inicial],"&lt;="&amp;'Mapa Contratos'!AD$9,Tabela_Reservas[Período Final],"&gt;="&amp;'Mapa Contratos'!AD$9)</f>
        <v>0</v>
      </c>
      <c r="AE21" s="77">
        <f>COUNTIFS(Tabela_Reservas[Unidade],'Mapa Contratos'!$A21,Tabela_Reservas[Período Inicial],"&lt;="&amp;'Mapa Contratos'!AE$9,Tabela_Reservas[Período Final],"&gt;="&amp;'Mapa Contratos'!AE$9)</f>
        <v>0</v>
      </c>
      <c r="AF21" s="77">
        <f>COUNTIFS(Tabela_Reservas[Unidade],'Mapa Contratos'!$A21,Tabela_Reservas[Período Inicial],"&lt;="&amp;'Mapa Contratos'!AF$9,Tabela_Reservas[Período Final],"&gt;="&amp;'Mapa Contratos'!AF$9)</f>
        <v>0</v>
      </c>
    </row>
    <row r="22" spans="1:32" x14ac:dyDescent="0.35">
      <c r="C22" s="35"/>
    </row>
    <row r="23" spans="1:32" x14ac:dyDescent="0.35">
      <c r="C23" s="35"/>
    </row>
    <row r="24" spans="1:32" x14ac:dyDescent="0.35">
      <c r="C24" s="35"/>
    </row>
    <row r="26" spans="1:32" x14ac:dyDescent="0.35">
      <c r="C26" s="35"/>
    </row>
    <row r="27" spans="1:32" x14ac:dyDescent="0.35">
      <c r="C27" s="35"/>
    </row>
    <row r="28" spans="1:32" x14ac:dyDescent="0.35">
      <c r="C28" s="35"/>
    </row>
    <row r="29" spans="1:32" x14ac:dyDescent="0.35">
      <c r="C29" s="35"/>
    </row>
    <row r="30" spans="1:32" x14ac:dyDescent="0.35">
      <c r="C30" s="35"/>
    </row>
    <row r="31" spans="1:32" x14ac:dyDescent="0.35">
      <c r="C31" s="35"/>
    </row>
    <row r="32" spans="1:32" x14ac:dyDescent="0.35">
      <c r="C32" s="35"/>
    </row>
    <row r="33" spans="3:3" x14ac:dyDescent="0.35">
      <c r="C33" s="35"/>
    </row>
    <row r="34" spans="3:3" x14ac:dyDescent="0.35">
      <c r="C34" s="35"/>
    </row>
    <row r="35" spans="3:3" x14ac:dyDescent="0.35">
      <c r="C35" s="35"/>
    </row>
    <row r="36" spans="3:3" x14ac:dyDescent="0.35">
      <c r="C36" s="35"/>
    </row>
  </sheetData>
  <mergeCells count="16">
    <mergeCell ref="Z2:AC2"/>
    <mergeCell ref="U2:X2"/>
    <mergeCell ref="U3:X3"/>
    <mergeCell ref="A2:R3"/>
    <mergeCell ref="C6:F6"/>
    <mergeCell ref="A4:R4"/>
    <mergeCell ref="C7:F7"/>
    <mergeCell ref="K6:N6"/>
    <mergeCell ref="K7:N7"/>
    <mergeCell ref="Z3:AC3"/>
    <mergeCell ref="O6:R6"/>
    <mergeCell ref="O7:R7"/>
    <mergeCell ref="T6:W6"/>
    <mergeCell ref="T7:W7"/>
    <mergeCell ref="G6:J6"/>
    <mergeCell ref="G7:J7"/>
  </mergeCells>
  <conditionalFormatting sqref="C11:AF21">
    <cfRule type="cellIs" dxfId="115" priority="3" operator="equal">
      <formula>1</formula>
    </cfRule>
    <cfRule type="cellIs" dxfId="114" priority="4" operator="equal">
      <formula>0</formula>
    </cfRule>
  </conditionalFormatting>
  <conditionalFormatting sqref="O7:R7">
    <cfRule type="cellIs" dxfId="113" priority="1" operator="equal">
      <formula>"Conflito"</formula>
    </cfRule>
    <cfRule type="cellIs" dxfId="112" priority="2" operator="equal">
      <formula>"ok"</formula>
    </cfRule>
  </conditionalFormatting>
  <dataValidations count="1">
    <dataValidation type="list" allowBlank="1" showInputMessage="1" showErrorMessage="1" sqref="K7:N7" xr:uid="{93C99F5A-507F-47B3-8699-E950C4EEF01D}">
      <formula1>unidade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Spinner 5">
              <controlPr defaultSize="0" autoPict="0">
                <anchor moveWithCells="1" sizeWithCells="1">
                  <from>
                    <xdr:col>31</xdr:col>
                    <xdr:colOff>50800</xdr:colOff>
                    <xdr:row>0</xdr:row>
                    <xdr:rowOff>146050</xdr:rowOff>
                  </from>
                  <to>
                    <xdr:col>32</xdr:col>
                    <xdr:colOff>165100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76A4B-8800-414C-9F5C-1C6966BF1531}">
  <sheetPr codeName="Planilha6">
    <tabColor rgb="FF7030A0"/>
  </sheetPr>
  <dimension ref="A1:U18"/>
  <sheetViews>
    <sheetView showGridLines="0" workbookViewId="0">
      <selection activeCell="E9" sqref="E9"/>
    </sheetView>
  </sheetViews>
  <sheetFormatPr defaultColWidth="0" defaultRowHeight="14.5" x14ac:dyDescent="0.35"/>
  <cols>
    <col min="1" max="1" width="7.26953125" style="16" customWidth="1"/>
    <col min="2" max="2" width="6.54296875" style="16" bestFit="1" customWidth="1"/>
    <col min="3" max="3" width="5.26953125" style="16" customWidth="1"/>
    <col min="4" max="4" width="10.54296875" style="16" customWidth="1"/>
    <col min="5" max="5" width="9.54296875" style="16" bestFit="1" customWidth="1"/>
    <col min="6" max="6" width="9.54296875" style="16" customWidth="1"/>
    <col min="7" max="7" width="14.54296875" style="16" bestFit="1" customWidth="1"/>
    <col min="8" max="8" width="14.54296875" style="16" customWidth="1"/>
    <col min="9" max="10" width="15" style="16" customWidth="1"/>
    <col min="11" max="11" width="12" style="16" bestFit="1" customWidth="1"/>
    <col min="12" max="12" width="8.7265625" style="16" customWidth="1"/>
    <col min="13" max="16" width="6.54296875" style="16" customWidth="1"/>
    <col min="17" max="17" width="8.54296875" style="16" bestFit="1" customWidth="1"/>
    <col min="18" max="18" width="6.54296875" style="16" customWidth="1"/>
    <col min="19" max="19" width="6.81640625" style="16" bestFit="1" customWidth="1"/>
    <col min="20" max="20" width="6.54296875" style="16" customWidth="1"/>
    <col min="21" max="21" width="2.54296875" style="16" customWidth="1"/>
    <col min="22" max="16384" width="8.7265625" style="16" hidden="1"/>
  </cols>
  <sheetData>
    <row r="1" spans="1:20" ht="24.5" x14ac:dyDescent="0.35">
      <c r="A1" s="318" t="s">
        <v>136</v>
      </c>
      <c r="B1" s="319"/>
      <c r="C1" s="319"/>
      <c r="D1" s="319"/>
      <c r="E1" s="319"/>
      <c r="F1" s="319"/>
      <c r="G1" s="319"/>
      <c r="H1" s="319"/>
      <c r="I1" s="319"/>
      <c r="J1" s="319"/>
      <c r="K1" s="320"/>
    </row>
    <row r="2" spans="1:20" ht="15.5" x14ac:dyDescent="0.35">
      <c r="A2" s="334" t="s">
        <v>499</v>
      </c>
      <c r="B2" s="335"/>
      <c r="C2" s="335"/>
      <c r="D2" s="335"/>
      <c r="E2" s="335"/>
      <c r="F2" s="335"/>
      <c r="G2" s="335"/>
      <c r="H2" s="335"/>
      <c r="I2" s="335"/>
      <c r="J2" s="335"/>
      <c r="K2" s="336"/>
    </row>
    <row r="4" spans="1:20" ht="30.65" customHeight="1" x14ac:dyDescent="0.35">
      <c r="A4" s="27" t="s">
        <v>74</v>
      </c>
      <c r="B4" s="27" t="s">
        <v>326</v>
      </c>
      <c r="C4" s="28" t="s">
        <v>112</v>
      </c>
      <c r="D4" s="28" t="s">
        <v>124</v>
      </c>
      <c r="E4" s="28" t="s">
        <v>181</v>
      </c>
      <c r="F4" s="28" t="s">
        <v>223</v>
      </c>
      <c r="G4" s="28" t="s">
        <v>118</v>
      </c>
      <c r="H4" s="28" t="s">
        <v>86</v>
      </c>
      <c r="I4" s="28" t="s">
        <v>85</v>
      </c>
      <c r="J4" s="28" t="s">
        <v>7</v>
      </c>
      <c r="K4" s="28" t="s">
        <v>131</v>
      </c>
      <c r="L4" s="37" t="s">
        <v>125</v>
      </c>
      <c r="M4" s="37" t="s">
        <v>119</v>
      </c>
      <c r="N4" s="37" t="s">
        <v>120</v>
      </c>
      <c r="O4" s="37" t="s">
        <v>121</v>
      </c>
      <c r="P4" s="37" t="s">
        <v>122</v>
      </c>
      <c r="Q4" s="37" t="s">
        <v>322</v>
      </c>
      <c r="R4" s="37" t="s">
        <v>123</v>
      </c>
      <c r="S4" s="37" t="s">
        <v>117</v>
      </c>
      <c r="T4" s="37" t="s">
        <v>116</v>
      </c>
    </row>
    <row r="5" spans="1:20" x14ac:dyDescent="0.35">
      <c r="A5" s="47" t="s">
        <v>75</v>
      </c>
      <c r="B5" s="47" t="s">
        <v>327</v>
      </c>
      <c r="C5" s="56">
        <v>14.64</v>
      </c>
      <c r="D5" s="45">
        <v>2790</v>
      </c>
      <c r="E5" s="45">
        <v>950</v>
      </c>
      <c r="F5" s="45">
        <v>6000</v>
      </c>
      <c r="G5" s="29" t="str">
        <f ca="1">IFERROR(VLOOKUP(Tabela_Unidades[[#This Row],[Unidade]]&amp;"Vigente",Tabela_Reservas[[Conc_UNID_Stat]:[Locatário]],3,0),"")</f>
        <v/>
      </c>
      <c r="H5" s="30" t="str">
        <f ca="1">IFERROR(VLOOKUP(Tabela_Unidades[[#This Row],[Unidade]]&amp;"Vigente",Tabela_Reservas[[Conc_UNID_Stat]:[Período Final]],6,0),"")</f>
        <v/>
      </c>
      <c r="I5" s="30" t="str">
        <f ca="1">IFERROR(VLOOKUP(Tabela_Unidades[[#This Row],[Unidade]]&amp;"Vigente",Tabela_Reservas[[Conc_UNID_Stat]:[Período Final]],7,0),"")</f>
        <v/>
      </c>
      <c r="J5" s="30" t="str">
        <f ca="1">IF(Tabela_Unidades[[#This Row],[Início Contrato]]="","Vacante","Locado")</f>
        <v>Vacante</v>
      </c>
      <c r="K5" s="32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5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5" s="25" t="e">
        <f ca="1">INT((Tabela_Unidades[[#This Row],[Fim do Contrato]]-Tabela_Unidades[[#This Row],[Início Contrato]])/30.4375)</f>
        <v>#VALUE!</v>
      </c>
      <c r="N5" s="25">
        <f ca="1">IF(Tabela_Unidades[[#This Row],[Início Contrato]]="",0,INT((TODAY()-Tabela_Unidades[[#This Row],[Início Contrato]])/30.4375))</f>
        <v>0</v>
      </c>
      <c r="O5" s="25" t="e">
        <f ca="1">Tabela_Unidades[[#This Row],[Duração Contrato]]-Tabela_Unidades[[#This Row],[Meses Usados]]</f>
        <v>#VALUE!</v>
      </c>
      <c r="P5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5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5" s="25">
        <f ca="1">Tabela_Unidades[[#This Row],[Meses Usados]]-Tabela_Unidades[[#This Row],[Meses Pagos]]</f>
        <v>0</v>
      </c>
      <c r="S5" s="38" t="str">
        <f>IFERROR(ROW()/10000000+Tabela_Unidades[[#This Row],[Dívidas ex-Juros Multa]],"")</f>
        <v/>
      </c>
      <c r="T5" s="39" t="str">
        <f>Tabela_Unidades[[#This Row],[Unidade]]</f>
        <v>U1C1</v>
      </c>
    </row>
    <row r="6" spans="1:20" x14ac:dyDescent="0.35">
      <c r="A6" s="47" t="s">
        <v>76</v>
      </c>
      <c r="B6" s="47" t="s">
        <v>327</v>
      </c>
      <c r="C6" s="56">
        <v>18.079999999999998</v>
      </c>
      <c r="D6" s="45">
        <v>2790</v>
      </c>
      <c r="E6" s="45">
        <v>950</v>
      </c>
      <c r="F6" s="45">
        <v>6000</v>
      </c>
      <c r="G6" s="29" t="str">
        <f ca="1">IFERROR(VLOOKUP(Tabela_Unidades[[#This Row],[Unidade]]&amp;"Vigente",Tabela_Reservas[[Conc_UNID_Stat]:[Locatário]],3,0),"")</f>
        <v/>
      </c>
      <c r="H6" s="30" t="str">
        <f ca="1">IFERROR(VLOOKUP(Tabela_Unidades[[#This Row],[Unidade]]&amp;"Vigente",Tabela_Reservas[[Conc_UNID_Stat]:[Período Final]],6,0),"")</f>
        <v/>
      </c>
      <c r="I6" s="30" t="str">
        <f ca="1">IFERROR(VLOOKUP(Tabela_Unidades[[#This Row],[Unidade]]&amp;"Vigente",Tabela_Reservas[[Conc_UNID_Stat]:[Período Final]],7,0),"")</f>
        <v/>
      </c>
      <c r="J6" s="30" t="str">
        <f ca="1">IF(Tabela_Unidades[[#This Row],[Início Contrato]]="","Vacante","Locado")</f>
        <v>Vacante</v>
      </c>
      <c r="K6" s="32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6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6" s="25" t="e">
        <f ca="1">INT((Tabela_Unidades[[#This Row],[Fim do Contrato]]-Tabela_Unidades[[#This Row],[Início Contrato]])/30.4375)</f>
        <v>#VALUE!</v>
      </c>
      <c r="N6" s="25">
        <f ca="1">IF(Tabela_Unidades[[#This Row],[Início Contrato]]="",0,INT((TODAY()-Tabela_Unidades[[#This Row],[Início Contrato]])/30.4375))</f>
        <v>0</v>
      </c>
      <c r="O6" s="25" t="e">
        <f ca="1">Tabela_Unidades[[#This Row],[Duração Contrato]]-Tabela_Unidades[[#This Row],[Meses Usados]]</f>
        <v>#VALUE!</v>
      </c>
      <c r="P6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6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6" s="25">
        <f ca="1">Tabela_Unidades[[#This Row],[Meses Usados]]-Tabela_Unidades[[#This Row],[Meses Pagos]]</f>
        <v>0</v>
      </c>
      <c r="S6" s="38" t="str">
        <f>IFERROR(ROW()/10000000+Tabela_Unidades[[#This Row],[Dívidas ex-Juros Multa]],"")</f>
        <v/>
      </c>
      <c r="T6" s="39" t="str">
        <f>Tabela_Unidades[[#This Row],[Unidade]]</f>
        <v>U1C2</v>
      </c>
    </row>
    <row r="7" spans="1:20" x14ac:dyDescent="0.35">
      <c r="A7" s="47" t="s">
        <v>77</v>
      </c>
      <c r="B7" s="47" t="s">
        <v>327</v>
      </c>
      <c r="C7" s="56">
        <v>14.43</v>
      </c>
      <c r="D7" s="45">
        <v>2790</v>
      </c>
      <c r="E7" s="45">
        <v>950</v>
      </c>
      <c r="F7" s="45">
        <v>6000</v>
      </c>
      <c r="G7" s="29" t="str">
        <f ca="1">IFERROR(VLOOKUP(Tabela_Unidades[[#This Row],[Unidade]]&amp;"Vigente",Tabela_Reservas[[Conc_UNID_Stat]:[Locatário]],3,0),"")</f>
        <v/>
      </c>
      <c r="H7" s="30" t="str">
        <f ca="1">IFERROR(VLOOKUP(Tabela_Unidades[[#This Row],[Unidade]]&amp;"Vigente",Tabela_Reservas[[Conc_UNID_Stat]:[Período Final]],6,0),"")</f>
        <v/>
      </c>
      <c r="I7" s="30" t="str">
        <f ca="1">IFERROR(VLOOKUP(Tabela_Unidades[[#This Row],[Unidade]]&amp;"Vigente",Tabela_Reservas[[Conc_UNID_Stat]:[Período Final]],7,0),"")</f>
        <v/>
      </c>
      <c r="J7" s="30" t="str">
        <f ca="1">IF(Tabela_Unidades[[#This Row],[Início Contrato]]="","Vacante","Locado")</f>
        <v>Vacante</v>
      </c>
      <c r="K7" s="32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7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7" s="25" t="e">
        <f ca="1">INT((Tabela_Unidades[[#This Row],[Fim do Contrato]]-Tabela_Unidades[[#This Row],[Início Contrato]])/30.4375)</f>
        <v>#VALUE!</v>
      </c>
      <c r="N7" s="25">
        <f ca="1">IF(Tabela_Unidades[[#This Row],[Início Contrato]]="",0,INT((TODAY()-Tabela_Unidades[[#This Row],[Início Contrato]])/30.4375))</f>
        <v>0</v>
      </c>
      <c r="O7" s="25" t="e">
        <f ca="1">Tabela_Unidades[[#This Row],[Duração Contrato]]-Tabela_Unidades[[#This Row],[Meses Usados]]</f>
        <v>#VALUE!</v>
      </c>
      <c r="P7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7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7" s="25">
        <f ca="1">Tabela_Unidades[[#This Row],[Meses Usados]]-Tabela_Unidades[[#This Row],[Meses Pagos]]</f>
        <v>0</v>
      </c>
      <c r="S7" s="38" t="str">
        <f>IFERROR(ROW()/10000000+Tabela_Unidades[[#This Row],[Dívidas ex-Juros Multa]],"")</f>
        <v/>
      </c>
      <c r="T7" s="39" t="str">
        <f>Tabela_Unidades[[#This Row],[Unidade]]</f>
        <v>U1C3</v>
      </c>
    </row>
    <row r="8" spans="1:20" x14ac:dyDescent="0.35">
      <c r="A8" s="47" t="s">
        <v>78</v>
      </c>
      <c r="B8" s="47" t="s">
        <v>327</v>
      </c>
      <c r="C8" s="56">
        <v>18.53</v>
      </c>
      <c r="D8" s="45">
        <v>2790</v>
      </c>
      <c r="E8" s="45">
        <v>950</v>
      </c>
      <c r="F8" s="45">
        <v>6000</v>
      </c>
      <c r="G8" s="29" t="str">
        <f ca="1">IFERROR(VLOOKUP(Tabela_Unidades[[#This Row],[Unidade]]&amp;"Vigente",Tabela_Reservas[[Conc_UNID_Stat]:[Locatário]],3,0),"")</f>
        <v/>
      </c>
      <c r="H8" s="30" t="str">
        <f ca="1">IFERROR(VLOOKUP(Tabela_Unidades[[#This Row],[Unidade]]&amp;"Vigente",Tabela_Reservas[[Conc_UNID_Stat]:[Período Final]],6,0),"")</f>
        <v/>
      </c>
      <c r="I8" s="30" t="str">
        <f ca="1">IFERROR(VLOOKUP(Tabela_Unidades[[#This Row],[Unidade]]&amp;"Vigente",Tabela_Reservas[[Conc_UNID_Stat]:[Período Final]],7,0),"")</f>
        <v/>
      </c>
      <c r="J8" s="30" t="str">
        <f ca="1">IF(Tabela_Unidades[[#This Row],[Início Contrato]]="","Vacante","Locado")</f>
        <v>Vacante</v>
      </c>
      <c r="K8" s="32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8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8" s="25" t="e">
        <f ca="1">INT((Tabela_Unidades[[#This Row],[Fim do Contrato]]-Tabela_Unidades[[#This Row],[Início Contrato]])/30.4375)</f>
        <v>#VALUE!</v>
      </c>
      <c r="N8" s="25">
        <f ca="1">IF(Tabela_Unidades[[#This Row],[Início Contrato]]="",0,INT((TODAY()-Tabela_Unidades[[#This Row],[Início Contrato]])/30.4375))</f>
        <v>0</v>
      </c>
      <c r="O8" s="25" t="e">
        <f ca="1">Tabela_Unidades[[#This Row],[Duração Contrato]]-Tabela_Unidades[[#This Row],[Meses Usados]]</f>
        <v>#VALUE!</v>
      </c>
      <c r="P8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8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8" s="25">
        <f ca="1">Tabela_Unidades[[#This Row],[Meses Usados]]-Tabela_Unidades[[#This Row],[Meses Pagos]]</f>
        <v>0</v>
      </c>
      <c r="S8" s="38" t="str">
        <f>IFERROR(ROW()/10000000+Tabela_Unidades[[#This Row],[Dívidas ex-Juros Multa]],"")</f>
        <v/>
      </c>
      <c r="T8" s="39" t="str">
        <f>Tabela_Unidades[[#This Row],[Unidade]]</f>
        <v>U1C4</v>
      </c>
    </row>
    <row r="9" spans="1:20" x14ac:dyDescent="0.35">
      <c r="A9" s="48" t="s">
        <v>79</v>
      </c>
      <c r="B9" s="47" t="s">
        <v>327</v>
      </c>
      <c r="C9" s="57">
        <v>25.71</v>
      </c>
      <c r="D9" s="46">
        <v>2790</v>
      </c>
      <c r="E9" s="46">
        <v>950</v>
      </c>
      <c r="F9" s="45">
        <v>6000</v>
      </c>
      <c r="G9" s="29" t="str">
        <f ca="1">IFERROR(VLOOKUP(Tabela_Unidades[[#This Row],[Unidade]]&amp;"Vigente",Tabela_Reservas[[Conc_UNID_Stat]:[Locatário]],3,0),"")</f>
        <v>Nakko Sushi</v>
      </c>
      <c r="H9" s="31">
        <f ca="1">IFERROR(VLOOKUP(Tabela_Unidades[[#This Row],[Unidade]]&amp;"Vigente",Tabela_Reservas[[Conc_UNID_Stat]:[Período Final]],6,0),"")</f>
        <v>44348</v>
      </c>
      <c r="I9" s="31">
        <f ca="1">IFERROR(VLOOKUP(Tabela_Unidades[[#This Row],[Unidade]]&amp;"Vigente",Tabela_Reservas[[Conc_UNID_Stat]:[Período Final]],7,0),"")</f>
        <v>44593</v>
      </c>
      <c r="J9" s="31" t="str">
        <f ca="1">IF(Tabela_Unidades[[#This Row],[Início Contrato]]="","Vacante","Locado")</f>
        <v>Locado</v>
      </c>
      <c r="K9" s="33" t="str">
        <f ca="1">IF(Tabela_Unidades[[#This Row],[Status]]="Vacante","-",IF(Tabela_Unidades[[#This Row],[Contratante Atual]]="","",IF(Tabela_Unidades[[#This Row],[Dívidas ex-Juros Multa]]&gt;0,"Inadimplente","Adimplente")))</f>
        <v>Inadimplente</v>
      </c>
      <c r="L9" s="34" t="str">
        <f ca="1"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9" s="26">
        <f ca="1">INT((Tabela_Unidades[[#This Row],[Fim do Contrato]]-Tabela_Unidades[[#This Row],[Início Contrato]])/30.4375)</f>
        <v>8</v>
      </c>
      <c r="N9" s="26">
        <f ca="1">IF(Tabela_Unidades[[#This Row],[Início Contrato]]="",0,INT((TODAY()-Tabela_Unidades[[#This Row],[Início Contrato]])/30.4375))</f>
        <v>0</v>
      </c>
      <c r="O9" s="26">
        <f ca="1">Tabela_Unidades[[#This Row],[Duração Contrato]]-Tabela_Unidades[[#This Row],[Meses Usados]]</f>
        <v>8</v>
      </c>
      <c r="P9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9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9" s="25">
        <f ca="1">Tabela_Unidades[[#This Row],[Meses Usados]]-Tabela_Unidades[[#This Row],[Meses Pagos]]</f>
        <v>0</v>
      </c>
      <c r="S9" s="38" t="str">
        <f ca="1">IFERROR(ROW()/10000000+Tabela_Unidades[[#This Row],[Dívidas ex-Juros Multa]],"")</f>
        <v/>
      </c>
      <c r="T9" s="39" t="str">
        <f>Tabela_Unidades[[#This Row],[Unidade]]</f>
        <v>U1C5</v>
      </c>
    </row>
    <row r="10" spans="1:20" x14ac:dyDescent="0.35">
      <c r="A10" s="48" t="s">
        <v>80</v>
      </c>
      <c r="B10" s="47" t="s">
        <v>327</v>
      </c>
      <c r="C10" s="57">
        <v>14.29</v>
      </c>
      <c r="D10" s="46">
        <v>2790</v>
      </c>
      <c r="E10" s="46">
        <v>950</v>
      </c>
      <c r="F10" s="45">
        <v>6000</v>
      </c>
      <c r="G10" s="29" t="str">
        <f ca="1">IFERROR(VLOOKUP(Tabela_Unidades[[#This Row],[Unidade]]&amp;"Vigente",Tabela_Reservas[[Conc_UNID_Stat]:[Locatário]],3,0),"")</f>
        <v/>
      </c>
      <c r="H10" s="31" t="str">
        <f ca="1">IFERROR(VLOOKUP(Tabela_Unidades[[#This Row],[Unidade]]&amp;"Vigente",Tabela_Reservas[[Conc_UNID_Stat]:[Período Final]],6,0),"")</f>
        <v/>
      </c>
      <c r="I10" s="31" t="str">
        <f ca="1">IFERROR(VLOOKUP(Tabela_Unidades[[#This Row],[Unidade]]&amp;"Vigente",Tabela_Reservas[[Conc_UNID_Stat]:[Período Final]],7,0),"")</f>
        <v/>
      </c>
      <c r="J10" s="31" t="str">
        <f ca="1">IF(Tabela_Unidades[[#This Row],[Início Contrato]]="","Vacante","Locado")</f>
        <v>Vacante</v>
      </c>
      <c r="K10" s="33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10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0" s="26" t="e">
        <f ca="1">INT((Tabela_Unidades[[#This Row],[Fim do Contrato]]-Tabela_Unidades[[#This Row],[Início Contrato]])/30.4375)</f>
        <v>#VALUE!</v>
      </c>
      <c r="N10" s="26">
        <f ca="1">IF(Tabela_Unidades[[#This Row],[Início Contrato]]="",0,INT((TODAY()-Tabela_Unidades[[#This Row],[Início Contrato]])/30.4375))</f>
        <v>0</v>
      </c>
      <c r="O10" s="26" t="e">
        <f ca="1">Tabela_Unidades[[#This Row],[Duração Contrato]]-Tabela_Unidades[[#This Row],[Meses Usados]]</f>
        <v>#VALUE!</v>
      </c>
      <c r="P10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0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0" s="25">
        <f ca="1">Tabela_Unidades[[#This Row],[Meses Usados]]-Tabela_Unidades[[#This Row],[Meses Pagos]]</f>
        <v>0</v>
      </c>
      <c r="S10" s="38" t="str">
        <f>IFERROR(ROW()/10000000+Tabela_Unidades[[#This Row],[Dívidas ex-Juros Multa]],"")</f>
        <v/>
      </c>
      <c r="T10" s="39" t="str">
        <f>Tabela_Unidades[[#This Row],[Unidade]]</f>
        <v>U1C6</v>
      </c>
    </row>
    <row r="11" spans="1:20" x14ac:dyDescent="0.35">
      <c r="A11" s="48" t="s">
        <v>81</v>
      </c>
      <c r="B11" s="47" t="s">
        <v>327</v>
      </c>
      <c r="C11" s="57">
        <v>18.78</v>
      </c>
      <c r="D11" s="46">
        <v>2790</v>
      </c>
      <c r="E11" s="46">
        <v>950</v>
      </c>
      <c r="F11" s="45">
        <v>6000</v>
      </c>
      <c r="G11" s="29" t="str">
        <f ca="1">IFERROR(VLOOKUP(Tabela_Unidades[[#This Row],[Unidade]]&amp;"Vigente",Tabela_Reservas[[Conc_UNID_Stat]:[Locatário]],3,0),"")</f>
        <v/>
      </c>
      <c r="H11" s="31" t="str">
        <f ca="1">IFERROR(VLOOKUP(Tabela_Unidades[[#This Row],[Unidade]]&amp;"Vigente",Tabela_Reservas[[Conc_UNID_Stat]:[Período Final]],6,0),"")</f>
        <v/>
      </c>
      <c r="I11" s="31" t="str">
        <f ca="1">IFERROR(VLOOKUP(Tabela_Unidades[[#This Row],[Unidade]]&amp;"Vigente",Tabela_Reservas[[Conc_UNID_Stat]:[Período Final]],7,0),"")</f>
        <v/>
      </c>
      <c r="J11" s="31" t="str">
        <f ca="1">IF(Tabela_Unidades[[#This Row],[Início Contrato]]="","Vacante","Locado")</f>
        <v>Vacante</v>
      </c>
      <c r="K11" s="33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11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1" s="26" t="e">
        <f ca="1">INT((Tabela_Unidades[[#This Row],[Fim do Contrato]]-Tabela_Unidades[[#This Row],[Início Contrato]])/30.4375)</f>
        <v>#VALUE!</v>
      </c>
      <c r="N11" s="26">
        <f ca="1">IF(Tabela_Unidades[[#This Row],[Início Contrato]]="",0,INT((TODAY()-Tabela_Unidades[[#This Row],[Início Contrato]])/30.4375))</f>
        <v>0</v>
      </c>
      <c r="O11" s="26" t="e">
        <f ca="1">Tabela_Unidades[[#This Row],[Duração Contrato]]-Tabela_Unidades[[#This Row],[Meses Usados]]</f>
        <v>#VALUE!</v>
      </c>
      <c r="P11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1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1" s="25">
        <f ca="1">Tabela_Unidades[[#This Row],[Meses Usados]]-Tabela_Unidades[[#This Row],[Meses Pagos]]</f>
        <v>0</v>
      </c>
      <c r="S11" s="38" t="str">
        <f>IFERROR(ROW()/10000000+Tabela_Unidades[[#This Row],[Dívidas ex-Juros Multa]],"")</f>
        <v/>
      </c>
      <c r="T11" s="39" t="str">
        <f>Tabela_Unidades[[#This Row],[Unidade]]</f>
        <v>U1C7</v>
      </c>
    </row>
    <row r="12" spans="1:20" x14ac:dyDescent="0.35">
      <c r="A12" s="48" t="s">
        <v>82</v>
      </c>
      <c r="B12" s="47" t="s">
        <v>327</v>
      </c>
      <c r="C12" s="57">
        <v>16.12</v>
      </c>
      <c r="D12" s="46">
        <v>3390</v>
      </c>
      <c r="E12" s="46">
        <v>950</v>
      </c>
      <c r="F12" s="45">
        <v>6000</v>
      </c>
      <c r="G12" s="29" t="str">
        <f ca="1">IFERROR(VLOOKUP(Tabela_Unidades[[#This Row],[Unidade]]&amp;"Vigente",Tabela_Reservas[[Conc_UNID_Stat]:[Locatário]],3,0),"")</f>
        <v/>
      </c>
      <c r="H12" s="31" t="str">
        <f ca="1">IFERROR(VLOOKUP(Tabela_Unidades[[#This Row],[Unidade]]&amp;"Vigente",Tabela_Reservas[[Conc_UNID_Stat]:[Período Final]],6,0),"")</f>
        <v/>
      </c>
      <c r="I12" s="31" t="str">
        <f ca="1">IFERROR(VLOOKUP(Tabela_Unidades[[#This Row],[Unidade]]&amp;"Vigente",Tabela_Reservas[[Conc_UNID_Stat]:[Período Final]],7,0),"")</f>
        <v/>
      </c>
      <c r="J12" s="31" t="str">
        <f ca="1">IF(Tabela_Unidades[[#This Row],[Início Contrato]]="","Vacante","Locado")</f>
        <v>Vacante</v>
      </c>
      <c r="K12" s="33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12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2" s="26" t="e">
        <f ca="1">INT((Tabela_Unidades[[#This Row],[Fim do Contrato]]-Tabela_Unidades[[#This Row],[Início Contrato]])/30.4375)</f>
        <v>#VALUE!</v>
      </c>
      <c r="N12" s="26">
        <f ca="1">IF(Tabela_Unidades[[#This Row],[Início Contrato]]="",0,INT((TODAY()-Tabela_Unidades[[#This Row],[Início Contrato]])/30.4375))</f>
        <v>0</v>
      </c>
      <c r="O12" s="26" t="e">
        <f ca="1">Tabela_Unidades[[#This Row],[Duração Contrato]]-Tabela_Unidades[[#This Row],[Meses Usados]]</f>
        <v>#VALUE!</v>
      </c>
      <c r="P12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2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2" s="25">
        <f ca="1">Tabela_Unidades[[#This Row],[Meses Usados]]-Tabela_Unidades[[#This Row],[Meses Pagos]]</f>
        <v>0</v>
      </c>
      <c r="S12" s="38" t="str">
        <f>IFERROR(ROW()/10000000+Tabela_Unidades[[#This Row],[Dívidas ex-Juros Multa]],"")</f>
        <v/>
      </c>
      <c r="T12" s="39" t="str">
        <f>Tabela_Unidades[[#This Row],[Unidade]]</f>
        <v>U1C8</v>
      </c>
    </row>
    <row r="13" spans="1:20" x14ac:dyDescent="0.35">
      <c r="A13" s="48" t="s">
        <v>83</v>
      </c>
      <c r="B13" s="47" t="s">
        <v>327</v>
      </c>
      <c r="C13" s="57">
        <v>14.65</v>
      </c>
      <c r="D13" s="46">
        <v>3390</v>
      </c>
      <c r="E13" s="46">
        <v>950</v>
      </c>
      <c r="F13" s="45">
        <v>6000</v>
      </c>
      <c r="G13" s="29" t="str">
        <f ca="1">IFERROR(VLOOKUP(Tabela_Unidades[[#This Row],[Unidade]]&amp;"Vigente",Tabela_Reservas[[Conc_UNID_Stat]:[Locatário]],3,0),"")</f>
        <v/>
      </c>
      <c r="H13" s="31" t="str">
        <f ca="1">IFERROR(VLOOKUP(Tabela_Unidades[[#This Row],[Unidade]]&amp;"Vigente",Tabela_Reservas[[Conc_UNID_Stat]:[Período Final]],6,0),"")</f>
        <v/>
      </c>
      <c r="I13" s="31" t="str">
        <f ca="1">IFERROR(VLOOKUP(Tabela_Unidades[[#This Row],[Unidade]]&amp;"Vigente",Tabela_Reservas[[Conc_UNID_Stat]:[Período Final]],7,0),"")</f>
        <v/>
      </c>
      <c r="J13" s="31" t="str">
        <f ca="1">IF(Tabela_Unidades[[#This Row],[Início Contrato]]="","Vacante","Locado")</f>
        <v>Vacante</v>
      </c>
      <c r="K13" s="33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13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3" s="26" t="e">
        <f ca="1">INT((Tabela_Unidades[[#This Row],[Fim do Contrato]]-Tabela_Unidades[[#This Row],[Início Contrato]])/30.4375)</f>
        <v>#VALUE!</v>
      </c>
      <c r="N13" s="26">
        <f ca="1">IF(Tabela_Unidades[[#This Row],[Início Contrato]]="",0,INT((TODAY()-Tabela_Unidades[[#This Row],[Início Contrato]])/30.4375))</f>
        <v>0</v>
      </c>
      <c r="O13" s="26" t="e">
        <f ca="1">Tabela_Unidades[[#This Row],[Duração Contrato]]-Tabela_Unidades[[#This Row],[Meses Usados]]</f>
        <v>#VALUE!</v>
      </c>
      <c r="P13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3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3" s="25">
        <f ca="1">Tabela_Unidades[[#This Row],[Meses Usados]]-Tabela_Unidades[[#This Row],[Meses Pagos]]</f>
        <v>0</v>
      </c>
      <c r="S13" s="38" t="str">
        <f>IFERROR(ROW()/10000000+Tabela_Unidades[[#This Row],[Dívidas ex-Juros Multa]],"")</f>
        <v/>
      </c>
      <c r="T13" s="39" t="str">
        <f>Tabela_Unidades[[#This Row],[Unidade]]</f>
        <v>U1C9</v>
      </c>
    </row>
    <row r="14" spans="1:20" x14ac:dyDescent="0.35">
      <c r="A14" s="48" t="s">
        <v>174</v>
      </c>
      <c r="B14" s="47" t="s">
        <v>327</v>
      </c>
      <c r="C14" s="57">
        <v>14.88</v>
      </c>
      <c r="D14" s="46">
        <v>3390</v>
      </c>
      <c r="E14" s="46">
        <v>950</v>
      </c>
      <c r="F14" s="45">
        <v>6000</v>
      </c>
      <c r="G14" s="29" t="str">
        <f ca="1">IFERROR(VLOOKUP(Tabela_Unidades[[#This Row],[Unidade]]&amp;"Vigente",Tabela_Reservas[[Conc_UNID_Stat]:[Locatário]],3,0),"")</f>
        <v>Teichi</v>
      </c>
      <c r="H14" s="31">
        <f ca="1">IFERROR(VLOOKUP(Tabela_Unidades[[#This Row],[Unidade]]&amp;"Vigente",Tabela_Reservas[[Conc_UNID_Stat]:[Período Final]],6,0),"")</f>
        <v>44348</v>
      </c>
      <c r="I14" s="31">
        <f ca="1">IFERROR(VLOOKUP(Tabela_Unidades[[#This Row],[Unidade]]&amp;"Vigente",Tabela_Reservas[[Conc_UNID_Stat]:[Período Final]],7,0),"")</f>
        <v>44958</v>
      </c>
      <c r="J14" s="31" t="str">
        <f ca="1">IF(Tabela_Unidades[[#This Row],[Início Contrato]]="","Vacante","Locado")</f>
        <v>Locado</v>
      </c>
      <c r="K14" s="33" t="str">
        <f ca="1">IF(Tabela_Unidades[[#This Row],[Status]]="Vacante","-",IF(Tabela_Unidades[[#This Row],[Contratante Atual]]="","",IF(Tabela_Unidades[[#This Row],[Dívidas ex-Juros Multa]]&gt;0,"Inadimplente","Adimplente")))</f>
        <v>Inadimplente</v>
      </c>
      <c r="L14" s="34" t="str">
        <f ca="1"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4" s="26">
        <f ca="1">INT((Tabela_Unidades[[#This Row],[Fim do Contrato]]-Tabela_Unidades[[#This Row],[Início Contrato]])/30.4375)</f>
        <v>20</v>
      </c>
      <c r="N14" s="26">
        <f ca="1">IF(Tabela_Unidades[[#This Row],[Início Contrato]]="",0,INT((TODAY()-Tabela_Unidades[[#This Row],[Início Contrato]])/30.4375))</f>
        <v>0</v>
      </c>
      <c r="O14" s="26">
        <f ca="1">Tabela_Unidades[[#This Row],[Duração Contrato]]-Tabela_Unidades[[#This Row],[Meses Usados]]</f>
        <v>20</v>
      </c>
      <c r="P14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4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4" s="25">
        <f ca="1">Tabela_Unidades[[#This Row],[Meses Usados]]-Tabela_Unidades[[#This Row],[Meses Pagos]]</f>
        <v>0</v>
      </c>
      <c r="S14" s="38" t="str">
        <f ca="1">IFERROR(ROW()/10000000+Tabela_Unidades[[#This Row],[Dívidas ex-Juros Multa]],"")</f>
        <v/>
      </c>
      <c r="T14" s="39" t="str">
        <f>Tabela_Unidades[[#This Row],[Unidade]]</f>
        <v>U1C10</v>
      </c>
    </row>
    <row r="15" spans="1:20" x14ac:dyDescent="0.35">
      <c r="A15" s="48" t="s">
        <v>175</v>
      </c>
      <c r="B15" s="47" t="s">
        <v>327</v>
      </c>
      <c r="C15" s="57">
        <v>15.04</v>
      </c>
      <c r="D15" s="46">
        <v>4590</v>
      </c>
      <c r="E15" s="46">
        <v>950</v>
      </c>
      <c r="F15" s="45">
        <v>6000</v>
      </c>
      <c r="G15" s="29" t="str">
        <f ca="1">IFERROR(VLOOKUP(Tabela_Unidades[[#This Row],[Unidade]]&amp;"Vigente",Tabela_Reservas[[Conc_UNID_Stat]:[Locatário]],3,0),"")</f>
        <v/>
      </c>
      <c r="H15" s="31" t="str">
        <f ca="1">IFERROR(VLOOKUP(Tabela_Unidades[[#This Row],[Unidade]]&amp;"Vigente",Tabela_Reservas[[Conc_UNID_Stat]:[Período Final]],6,0),"")</f>
        <v/>
      </c>
      <c r="I15" s="31" t="str">
        <f ca="1">IFERROR(VLOOKUP(Tabela_Unidades[[#This Row],[Unidade]]&amp;"Vigente",Tabela_Reservas[[Conc_UNID_Stat]:[Período Final]],7,0),"")</f>
        <v/>
      </c>
      <c r="J15" s="31" t="str">
        <f ca="1">IF(Tabela_Unidades[[#This Row],[Início Contrato]]="","Vacante","Locado")</f>
        <v>Vacante</v>
      </c>
      <c r="K15" s="33" t="str">
        <f ca="1">IF(Tabela_Unidades[[#This Row],[Status]]="Vacante","-",IF(Tabela_Unidades[[#This Row],[Contratante Atual]]="","",IF(Tabela_Unidades[[#This Row],[Dívidas ex-Juros Multa]]&gt;0,"Inadimplente","Adimplente")))</f>
        <v>-</v>
      </c>
      <c r="L15" s="34" t="str">
        <f>IF(SUMIFS(Tabela_Movimentacao[Valor],Tabela_Movimentacao[Pagador],Tabela_Unidades[[#This Row],[UNID]],Tabela_Movimentacao[Status],"Vencido")=0,"",SUMIFS(Tabela_Movimentacao[Valor],Tabela_Movimentacao[Pagador],Tabela_Unidades[[#This Row],[UNID]],Tabela_Movimentacao[Status],"Vencido"))</f>
        <v/>
      </c>
      <c r="M15" s="26" t="e">
        <f ca="1">INT((Tabela_Unidades[[#This Row],[Fim do Contrato]]-Tabela_Unidades[[#This Row],[Início Contrato]])/30.4375)</f>
        <v>#VALUE!</v>
      </c>
      <c r="N15" s="26">
        <f ca="1">IF(Tabela_Unidades[[#This Row],[Início Contrato]]="",0,INT((TODAY()-Tabela_Unidades[[#This Row],[Início Contrato]])/30.4375))</f>
        <v>0</v>
      </c>
      <c r="O15" s="26" t="e">
        <f ca="1">Tabela_Unidades[[#This Row],[Duração Contrato]]-Tabela_Unidades[[#This Row],[Meses Usados]]</f>
        <v>#VALUE!</v>
      </c>
      <c r="P15" s="25">
        <f ca="1">IFERROR(COUNTIFS(Tabela_Movimentacao[Pagador],Tabela_Unidades[[#This Row],[Unidade]],Tabela_Movimentacao[Status],"Pago",Tabela_Movimentacao[Mês Referência],"&gt;="&amp;Tabela_Unidades[[#This Row],[Início Contrato]],Tabela_Movimentacao[Mês Referência],"&lt;="&amp;Tabela_Unidades[[#This Row],[Fim do Contrato]]),"")</f>
        <v>0</v>
      </c>
      <c r="Q15" s="146">
        <f ca="1">SUMIFS(Tabela_Movimentacao[Valor Real],Tabela_Movimentacao[Subcategoria],"Taxa de Mobilização",Tabela_Movimentacao[Pagador],Tabela_Unidades[[#This Row],[Unidade]],Tabela_Movimentacao[Status],"Pago",Tabela_Movimentacao[Pagamento],"&gt;="&amp;Tabela_Unidades[[#This Row],[Início Contrato]],Tabela_Movimentacao[Pagamento],"&lt;="&amp;Tabela_Unidades[[#This Row],[Fim do Contrato]])</f>
        <v>0</v>
      </c>
      <c r="R15" s="25">
        <f ca="1">Tabela_Unidades[[#This Row],[Meses Usados]]-Tabela_Unidades[[#This Row],[Meses Pagos]]</f>
        <v>0</v>
      </c>
      <c r="S15" s="38" t="str">
        <f>IFERROR(ROW()/10000000+Tabela_Unidades[[#This Row],[Dívidas ex-Juros Multa]],"")</f>
        <v/>
      </c>
      <c r="T15" s="39" t="str">
        <f>Tabela_Unidades[[#This Row],[Unidade]]</f>
        <v>U1C11</v>
      </c>
    </row>
    <row r="18" spans="4:4" x14ac:dyDescent="0.35">
      <c r="D18" s="99"/>
    </row>
  </sheetData>
  <mergeCells count="2">
    <mergeCell ref="A1:K1"/>
    <mergeCell ref="A2:K2"/>
  </mergeCells>
  <conditionalFormatting sqref="L5:R15">
    <cfRule type="cellIs" dxfId="111" priority="8" operator="greaterThan">
      <formula>0</formula>
    </cfRule>
  </conditionalFormatting>
  <conditionalFormatting sqref="K5:K15">
    <cfRule type="cellIs" dxfId="110" priority="6" operator="equal">
      <formula>"Adimplente"</formula>
    </cfRule>
    <cfRule type="cellIs" dxfId="109" priority="7" operator="equal">
      <formula>"Inadimplente"</formula>
    </cfRule>
  </conditionalFormatting>
  <conditionalFormatting sqref="S5:S15">
    <cfRule type="cellIs" dxfId="108" priority="5" operator="greaterThan">
      <formula>0</formula>
    </cfRule>
  </conditionalFormatting>
  <conditionalFormatting sqref="T5:T15">
    <cfRule type="cellIs" dxfId="107" priority="4" operator="greaterThan">
      <formula>0</formula>
    </cfRule>
  </conditionalFormatting>
  <conditionalFormatting sqref="J5:J15">
    <cfRule type="cellIs" dxfId="106" priority="1" operator="equal">
      <formula>"Vacante"</formula>
    </cfRule>
    <cfRule type="cellIs" dxfId="105" priority="2" operator="equal">
      <formula>"Locado"</formula>
    </cfRule>
    <cfRule type="cellIs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M6:O15 M5:O5" evalError="1"/>
    <ignoredError sqref="T5:T15" calculatedColumn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1813-0ABF-4F40-9A3A-17EE54F7B330}">
  <sheetPr>
    <tabColor theme="7"/>
  </sheetPr>
  <dimension ref="A1:G7"/>
  <sheetViews>
    <sheetView showGridLines="0" workbookViewId="0">
      <selection activeCell="C8" sqref="C8"/>
    </sheetView>
  </sheetViews>
  <sheetFormatPr defaultColWidth="0" defaultRowHeight="14.5" x14ac:dyDescent="0.35"/>
  <cols>
    <col min="1" max="1" width="0.7265625" style="200" customWidth="1"/>
    <col min="2" max="2" width="8.54296875" customWidth="1"/>
    <col min="3" max="3" width="21.81640625" customWidth="1"/>
    <col min="4" max="4" width="19.81640625" customWidth="1"/>
    <col min="5" max="5" width="11.7265625" customWidth="1"/>
    <col min="6" max="6" width="14.26953125" customWidth="1"/>
    <col min="7" max="7" width="2.1796875" customWidth="1"/>
    <col min="8" max="16384" width="8.7265625" hidden="1"/>
  </cols>
  <sheetData>
    <row r="1" spans="2:6" s="200" customFormat="1" ht="43" customHeight="1" x14ac:dyDescent="0.35">
      <c r="B1" s="337" t="s">
        <v>492</v>
      </c>
      <c r="C1" s="338"/>
      <c r="D1" s="338"/>
      <c r="E1" s="338"/>
      <c r="F1" s="339"/>
    </row>
    <row r="2" spans="2:6" s="200" customFormat="1" ht="35.5" customHeight="1" x14ac:dyDescent="0.35">
      <c r="B2" s="340" t="s">
        <v>493</v>
      </c>
      <c r="C2" s="341"/>
      <c r="D2" s="341"/>
      <c r="E2" s="341"/>
      <c r="F2" s="342"/>
    </row>
    <row r="3" spans="2:6" s="200" customFormat="1" x14ac:dyDescent="0.35"/>
    <row r="4" spans="2:6" x14ac:dyDescent="0.35">
      <c r="B4" s="78" t="s">
        <v>193</v>
      </c>
      <c r="C4" s="79" t="s">
        <v>190</v>
      </c>
      <c r="D4" s="79" t="s">
        <v>1</v>
      </c>
      <c r="E4" s="79" t="s">
        <v>191</v>
      </c>
      <c r="F4" s="80" t="s">
        <v>199</v>
      </c>
    </row>
    <row r="5" spans="2:6" x14ac:dyDescent="0.35">
      <c r="B5" s="81">
        <f>Tabela7[[#This Row],[Data Término]]+ROW()/10000000</f>
        <v>47726.000000499997</v>
      </c>
      <c r="C5" s="82" t="s">
        <v>227</v>
      </c>
      <c r="D5" s="82" t="s">
        <v>226</v>
      </c>
      <c r="E5" s="83">
        <v>44075</v>
      </c>
      <c r="F5" s="84">
        <v>47726</v>
      </c>
    </row>
    <row r="6" spans="2:6" x14ac:dyDescent="0.35">
      <c r="B6" s="85">
        <f>Tabela7[[#This Row],[Data Término]]+ROW()/10000000</f>
        <v>44363.000000599997</v>
      </c>
      <c r="C6" s="86" t="s">
        <v>192</v>
      </c>
      <c r="D6" s="86" t="s">
        <v>273</v>
      </c>
      <c r="E6" s="87">
        <v>43999</v>
      </c>
      <c r="F6" s="88">
        <v>44363</v>
      </c>
    </row>
    <row r="7" spans="2:6" x14ac:dyDescent="0.35">
      <c r="B7" s="85">
        <f>Tabela7[[#This Row],[Data Término]]+ROW()/10000000</f>
        <v>44867.000000699998</v>
      </c>
      <c r="C7" s="86" t="s">
        <v>375</v>
      </c>
      <c r="D7" s="86" t="s">
        <v>272</v>
      </c>
      <c r="E7" s="87">
        <v>44158</v>
      </c>
      <c r="F7" s="88">
        <v>44867</v>
      </c>
    </row>
  </sheetData>
  <mergeCells count="2">
    <mergeCell ref="B1:F1"/>
    <mergeCell ref="B2:F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195EB-1F9F-4F31-82D4-47D490C58302}">
  <sheetPr>
    <tabColor theme="9"/>
  </sheetPr>
  <dimension ref="A1:H43"/>
  <sheetViews>
    <sheetView showGridLines="0" topLeftCell="A22" workbookViewId="0">
      <selection activeCell="B44" sqref="B44"/>
    </sheetView>
  </sheetViews>
  <sheetFormatPr defaultColWidth="0" defaultRowHeight="13" x14ac:dyDescent="0.3"/>
  <cols>
    <col min="1" max="1" width="2.54296875" style="147" customWidth="1"/>
    <col min="2" max="2" width="20.1796875" style="147" bestFit="1" customWidth="1"/>
    <col min="3" max="3" width="26.54296875" style="147" bestFit="1" customWidth="1"/>
    <col min="4" max="4" width="21.81640625" style="147" customWidth="1"/>
    <col min="5" max="5" width="25.54296875" style="147" bestFit="1" customWidth="1"/>
    <col min="6" max="6" width="14" style="147" bestFit="1" customWidth="1"/>
    <col min="7" max="7" width="29.1796875" style="147" customWidth="1"/>
    <col min="8" max="8" width="2.7265625" style="147" customWidth="1"/>
    <col min="9" max="16384" width="8.7265625" style="147" hidden="1"/>
  </cols>
  <sheetData>
    <row r="1" spans="2:7" ht="11.5" customHeight="1" x14ac:dyDescent="0.3"/>
    <row r="2" spans="2:7" ht="34.5" customHeight="1" x14ac:dyDescent="0.3">
      <c r="B2" s="318" t="s">
        <v>497</v>
      </c>
      <c r="C2" s="319"/>
      <c r="D2" s="319"/>
      <c r="E2" s="319"/>
      <c r="F2" s="319"/>
      <c r="G2" s="320"/>
    </row>
    <row r="3" spans="2:7" ht="21.65" customHeight="1" x14ac:dyDescent="0.3">
      <c r="B3" s="343" t="s">
        <v>498</v>
      </c>
      <c r="C3" s="344"/>
      <c r="D3" s="344"/>
      <c r="E3" s="344"/>
      <c r="F3" s="344"/>
      <c r="G3" s="345"/>
    </row>
    <row r="5" spans="2:7" x14ac:dyDescent="0.3">
      <c r="B5" s="158" t="s">
        <v>1</v>
      </c>
      <c r="C5" s="159" t="s">
        <v>307</v>
      </c>
      <c r="D5" s="159" t="s">
        <v>352</v>
      </c>
      <c r="E5" s="159" t="s">
        <v>60</v>
      </c>
      <c r="F5" s="159" t="s">
        <v>308</v>
      </c>
      <c r="G5" s="160" t="s">
        <v>309</v>
      </c>
    </row>
    <row r="6" spans="2:7" x14ac:dyDescent="0.3">
      <c r="B6" s="148" t="s">
        <v>171</v>
      </c>
      <c r="C6" s="149" t="s">
        <v>314</v>
      </c>
      <c r="D6" s="181"/>
      <c r="E6" s="150" t="s">
        <v>330</v>
      </c>
      <c r="F6" s="151">
        <v>81979109504</v>
      </c>
      <c r="G6" s="152"/>
    </row>
    <row r="7" spans="2:7" x14ac:dyDescent="0.3">
      <c r="B7" s="148" t="s">
        <v>293</v>
      </c>
      <c r="C7" s="149" t="s">
        <v>48</v>
      </c>
      <c r="D7" s="181"/>
      <c r="E7" s="150"/>
      <c r="F7" s="151"/>
      <c r="G7" s="152"/>
    </row>
    <row r="8" spans="2:7" x14ac:dyDescent="0.3">
      <c r="B8" s="148" t="s">
        <v>253</v>
      </c>
      <c r="C8" s="149" t="s">
        <v>48</v>
      </c>
      <c r="D8" s="181"/>
      <c r="E8" s="150"/>
      <c r="F8" s="151"/>
      <c r="G8" s="152"/>
    </row>
    <row r="9" spans="2:7" x14ac:dyDescent="0.3">
      <c r="B9" s="148" t="s">
        <v>255</v>
      </c>
      <c r="C9" s="149" t="s">
        <v>48</v>
      </c>
      <c r="D9" s="181"/>
      <c r="E9" s="150"/>
      <c r="F9" s="151"/>
      <c r="G9" s="152"/>
    </row>
    <row r="10" spans="2:7" x14ac:dyDescent="0.3">
      <c r="B10" s="148" t="s">
        <v>290</v>
      </c>
      <c r="C10" s="149" t="s">
        <v>48</v>
      </c>
      <c r="D10" s="181"/>
      <c r="E10" s="150"/>
      <c r="F10" s="151"/>
      <c r="G10" s="152"/>
    </row>
    <row r="11" spans="2:7" x14ac:dyDescent="0.3">
      <c r="B11" s="148" t="s">
        <v>254</v>
      </c>
      <c r="C11" s="149" t="s">
        <v>48</v>
      </c>
      <c r="D11" s="181"/>
      <c r="E11" s="150"/>
      <c r="F11" s="151"/>
      <c r="G11" s="152"/>
    </row>
    <row r="12" spans="2:7" x14ac:dyDescent="0.3">
      <c r="B12" s="148" t="s">
        <v>64</v>
      </c>
      <c r="C12" s="149" t="s">
        <v>59</v>
      </c>
      <c r="D12" s="181"/>
      <c r="E12" s="150" t="s">
        <v>331</v>
      </c>
      <c r="F12" s="151">
        <v>81994791589</v>
      </c>
      <c r="G12" s="152"/>
    </row>
    <row r="13" spans="2:7" x14ac:dyDescent="0.3">
      <c r="B13" s="148" t="s">
        <v>63</v>
      </c>
      <c r="C13" s="149" t="s">
        <v>59</v>
      </c>
      <c r="D13" s="181"/>
      <c r="E13" s="150" t="s">
        <v>332</v>
      </c>
      <c r="F13" s="151"/>
      <c r="G13" s="152"/>
    </row>
    <row r="14" spans="2:7" x14ac:dyDescent="0.3">
      <c r="B14" s="148" t="s">
        <v>65</v>
      </c>
      <c r="C14" s="149" t="s">
        <v>59</v>
      </c>
      <c r="D14" s="181"/>
      <c r="E14" s="150" t="s">
        <v>333</v>
      </c>
      <c r="F14" s="151"/>
      <c r="G14" s="152"/>
    </row>
    <row r="15" spans="2:7" x14ac:dyDescent="0.3">
      <c r="B15" s="148" t="s">
        <v>226</v>
      </c>
      <c r="C15" s="149" t="s">
        <v>334</v>
      </c>
      <c r="D15" s="181"/>
      <c r="E15" s="150" t="s">
        <v>226</v>
      </c>
      <c r="F15" s="151">
        <v>81988337329</v>
      </c>
      <c r="G15" s="152"/>
    </row>
    <row r="16" spans="2:7" x14ac:dyDescent="0.3">
      <c r="B16" s="148" t="s">
        <v>169</v>
      </c>
      <c r="C16" s="149" t="s">
        <v>317</v>
      </c>
      <c r="D16" s="181"/>
      <c r="E16" s="150"/>
      <c r="F16" s="151"/>
      <c r="G16" s="152"/>
    </row>
    <row r="17" spans="2:7" x14ac:dyDescent="0.3">
      <c r="B17" s="148" t="s">
        <v>329</v>
      </c>
      <c r="C17" s="149" t="s">
        <v>310</v>
      </c>
      <c r="D17" s="181"/>
      <c r="E17" s="150" t="s">
        <v>182</v>
      </c>
      <c r="F17" s="151">
        <v>81988747573</v>
      </c>
      <c r="G17" s="152"/>
    </row>
    <row r="18" spans="2:7" ht="14.5" x14ac:dyDescent="0.35">
      <c r="B18" s="148" t="s">
        <v>232</v>
      </c>
      <c r="C18" s="149" t="s">
        <v>313</v>
      </c>
      <c r="D18" s="181"/>
      <c r="E18" s="161" t="s">
        <v>335</v>
      </c>
      <c r="F18" s="151"/>
      <c r="G18" s="152"/>
    </row>
    <row r="19" spans="2:7" ht="14.5" x14ac:dyDescent="0.35">
      <c r="B19" s="148" t="s">
        <v>336</v>
      </c>
      <c r="C19" s="149" t="s">
        <v>337</v>
      </c>
      <c r="D19" s="181"/>
      <c r="E19" s="161" t="s">
        <v>340</v>
      </c>
      <c r="F19" s="151"/>
      <c r="G19" s="152"/>
    </row>
    <row r="20" spans="2:7" x14ac:dyDescent="0.3">
      <c r="B20" s="148" t="s">
        <v>338</v>
      </c>
      <c r="C20" s="149" t="s">
        <v>339</v>
      </c>
      <c r="D20" s="181"/>
      <c r="E20" s="162" t="s">
        <v>341</v>
      </c>
      <c r="F20" s="151">
        <v>8199545275</v>
      </c>
      <c r="G20" s="152"/>
    </row>
    <row r="21" spans="2:7" x14ac:dyDescent="0.3">
      <c r="B21" s="148" t="s">
        <v>249</v>
      </c>
      <c r="C21" s="149" t="s">
        <v>311</v>
      </c>
      <c r="D21" s="181"/>
      <c r="E21" s="150"/>
      <c r="F21" s="151"/>
      <c r="G21" s="152"/>
    </row>
    <row r="22" spans="2:7" ht="14.5" x14ac:dyDescent="0.35">
      <c r="B22" s="148" t="s">
        <v>68</v>
      </c>
      <c r="C22" s="149" t="s">
        <v>311</v>
      </c>
      <c r="D22" s="181"/>
      <c r="E22" s="161" t="s">
        <v>342</v>
      </c>
      <c r="F22" s="151"/>
      <c r="G22" s="152"/>
    </row>
    <row r="23" spans="2:7" x14ac:dyDescent="0.3">
      <c r="B23" s="148" t="s">
        <v>283</v>
      </c>
      <c r="C23" s="149" t="s">
        <v>48</v>
      </c>
      <c r="D23" s="181"/>
      <c r="E23" s="150"/>
      <c r="F23" s="151"/>
      <c r="G23" s="152"/>
    </row>
    <row r="24" spans="2:7" x14ac:dyDescent="0.3">
      <c r="B24" s="148" t="s">
        <v>291</v>
      </c>
      <c r="C24" s="149" t="s">
        <v>48</v>
      </c>
      <c r="D24" s="181"/>
      <c r="E24" s="150"/>
      <c r="F24" s="151"/>
      <c r="G24" s="152"/>
    </row>
    <row r="25" spans="2:7" ht="14.5" x14ac:dyDescent="0.35">
      <c r="B25" s="148" t="s">
        <v>67</v>
      </c>
      <c r="C25" s="149" t="s">
        <v>311</v>
      </c>
      <c r="D25" s="181"/>
      <c r="E25" s="161" t="s">
        <v>343</v>
      </c>
      <c r="F25" s="151"/>
      <c r="G25" s="152"/>
    </row>
    <row r="26" spans="2:7" x14ac:dyDescent="0.3">
      <c r="B26" s="148" t="s">
        <v>216</v>
      </c>
      <c r="C26" s="149" t="s">
        <v>311</v>
      </c>
      <c r="D26" s="181"/>
      <c r="E26" s="150"/>
      <c r="F26" s="151"/>
      <c r="G26" s="152"/>
    </row>
    <row r="27" spans="2:7" x14ac:dyDescent="0.3">
      <c r="B27" s="148" t="s">
        <v>279</v>
      </c>
      <c r="C27" s="149" t="s">
        <v>48</v>
      </c>
      <c r="D27" s="181"/>
      <c r="E27" s="150"/>
      <c r="F27" s="151"/>
      <c r="G27" s="152"/>
    </row>
    <row r="28" spans="2:7" x14ac:dyDescent="0.3">
      <c r="B28" s="148" t="s">
        <v>252</v>
      </c>
      <c r="C28" s="149" t="s">
        <v>48</v>
      </c>
      <c r="D28" s="181"/>
      <c r="E28" s="150"/>
      <c r="F28" s="151"/>
      <c r="G28" s="152"/>
    </row>
    <row r="29" spans="2:7" x14ac:dyDescent="0.3">
      <c r="B29" s="148" t="s">
        <v>261</v>
      </c>
      <c r="C29" s="149" t="s">
        <v>315</v>
      </c>
      <c r="D29" s="181"/>
      <c r="E29" s="150"/>
      <c r="F29" s="151"/>
      <c r="G29" s="152"/>
    </row>
    <row r="30" spans="2:7" x14ac:dyDescent="0.3">
      <c r="B30" s="148" t="s">
        <v>209</v>
      </c>
      <c r="C30" s="149" t="s">
        <v>48</v>
      </c>
      <c r="D30" s="181"/>
      <c r="E30" s="150"/>
      <c r="F30" s="151"/>
      <c r="G30" s="152"/>
    </row>
    <row r="31" spans="2:7" x14ac:dyDescent="0.3">
      <c r="B31" s="148" t="s">
        <v>242</v>
      </c>
      <c r="C31" s="149" t="s">
        <v>313</v>
      </c>
      <c r="D31" s="181"/>
      <c r="E31" s="150"/>
      <c r="F31" s="151"/>
      <c r="G31" s="152"/>
    </row>
    <row r="32" spans="2:7" x14ac:dyDescent="0.3">
      <c r="B32" s="148" t="s">
        <v>173</v>
      </c>
      <c r="C32" s="149" t="s">
        <v>311</v>
      </c>
      <c r="D32" s="181"/>
      <c r="E32" s="150"/>
      <c r="F32" s="151"/>
      <c r="G32" s="152"/>
    </row>
    <row r="33" spans="2:7" x14ac:dyDescent="0.3">
      <c r="B33" s="148" t="s">
        <v>241</v>
      </c>
      <c r="C33" s="149" t="s">
        <v>312</v>
      </c>
      <c r="D33" s="181"/>
      <c r="E33" s="151" t="s">
        <v>318</v>
      </c>
      <c r="F33" s="151">
        <v>81988657806</v>
      </c>
      <c r="G33" s="152"/>
    </row>
    <row r="34" spans="2:7" x14ac:dyDescent="0.3">
      <c r="B34" s="148" t="s">
        <v>316</v>
      </c>
      <c r="C34" s="149" t="s">
        <v>48</v>
      </c>
      <c r="D34" s="181"/>
      <c r="E34" s="150"/>
      <c r="F34" s="151"/>
      <c r="G34" s="152"/>
    </row>
    <row r="35" spans="2:7" x14ac:dyDescent="0.3">
      <c r="B35" s="148" t="s">
        <v>166</v>
      </c>
      <c r="C35" s="149" t="s">
        <v>178</v>
      </c>
      <c r="D35" s="181"/>
      <c r="E35" s="150"/>
      <c r="F35" s="151"/>
      <c r="G35" s="152"/>
    </row>
    <row r="36" spans="2:7" x14ac:dyDescent="0.3">
      <c r="B36" s="153" t="s">
        <v>381</v>
      </c>
      <c r="C36" s="154" t="s">
        <v>48</v>
      </c>
      <c r="D36" s="182"/>
      <c r="E36" s="155"/>
      <c r="F36" s="156"/>
      <c r="G36" s="157"/>
    </row>
    <row r="37" spans="2:7" x14ac:dyDescent="0.3">
      <c r="B37" s="153" t="s">
        <v>272</v>
      </c>
      <c r="C37" s="154" t="s">
        <v>360</v>
      </c>
      <c r="D37" s="182"/>
      <c r="E37" s="155"/>
      <c r="F37" s="156"/>
      <c r="G37" s="157"/>
    </row>
    <row r="38" spans="2:7" x14ac:dyDescent="0.3">
      <c r="B38" s="153" t="s">
        <v>418</v>
      </c>
      <c r="C38" s="153" t="s">
        <v>418</v>
      </c>
      <c r="D38" s="182"/>
      <c r="E38" s="155"/>
      <c r="F38" s="156"/>
      <c r="G38" s="157"/>
    </row>
    <row r="39" spans="2:7" x14ac:dyDescent="0.3">
      <c r="B39" s="153" t="s">
        <v>424</v>
      </c>
      <c r="C39" s="154" t="s">
        <v>465</v>
      </c>
      <c r="D39" s="182"/>
      <c r="E39" s="155"/>
      <c r="F39" s="156"/>
      <c r="G39" s="157"/>
    </row>
    <row r="40" spans="2:7" x14ac:dyDescent="0.3">
      <c r="B40" s="153" t="s">
        <v>464</v>
      </c>
      <c r="C40" s="154" t="s">
        <v>48</v>
      </c>
      <c r="D40" s="182"/>
      <c r="E40" s="155"/>
      <c r="F40" s="156"/>
      <c r="G40" s="157"/>
    </row>
    <row r="41" spans="2:7" x14ac:dyDescent="0.3">
      <c r="B41" s="153" t="s">
        <v>476</v>
      </c>
      <c r="C41" s="154" t="s">
        <v>467</v>
      </c>
      <c r="D41" s="182"/>
      <c r="E41" s="155"/>
      <c r="F41" s="156"/>
      <c r="G41" s="157"/>
    </row>
    <row r="42" spans="2:7" x14ac:dyDescent="0.3">
      <c r="B42" s="153" t="s">
        <v>481</v>
      </c>
      <c r="C42" s="154" t="s">
        <v>482</v>
      </c>
      <c r="D42" s="182"/>
      <c r="E42" s="155"/>
      <c r="F42" s="156"/>
      <c r="G42" s="157"/>
    </row>
    <row r="43" spans="2:7" x14ac:dyDescent="0.3">
      <c r="B43" s="153" t="s">
        <v>542</v>
      </c>
      <c r="C43" s="154" t="s">
        <v>48</v>
      </c>
      <c r="D43" s="182"/>
      <c r="E43" s="155"/>
      <c r="F43" s="156"/>
      <c r="G43" s="157"/>
    </row>
  </sheetData>
  <mergeCells count="2">
    <mergeCell ref="B2:G2"/>
    <mergeCell ref="B3:G3"/>
  </mergeCells>
  <hyperlinks>
    <hyperlink ref="E18" r:id="rId1" xr:uid="{2345FDCD-B034-44B6-9AFE-81661DCDF4C0}"/>
    <hyperlink ref="E19" r:id="rId2" xr:uid="{F7683EFC-C7C2-4446-A5BF-A72A39290397}"/>
    <hyperlink ref="E22" r:id="rId3" xr:uid="{171F331C-C7D8-4390-B1AD-3718C52651F8}"/>
    <hyperlink ref="E25" r:id="rId4" xr:uid="{D17DCBFE-6361-4B45-970C-93DE89B0112D}"/>
  </hyperlinks>
  <pageMargins left="0.511811024" right="0.511811024" top="0.78740157499999996" bottom="0.78740157499999996" header="0.31496062000000002" footer="0.31496062000000002"/>
  <pageSetup paperSize="9" orientation="portrait" r:id="rId5"/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907DA-01F6-4083-B9BE-0613ED9D0416}">
  <sheetPr>
    <tabColor theme="9"/>
  </sheetPr>
  <dimension ref="A1:K6"/>
  <sheetViews>
    <sheetView showGridLines="0" workbookViewId="0">
      <selection activeCell="H13" sqref="H13"/>
    </sheetView>
  </sheetViews>
  <sheetFormatPr defaultRowHeight="14.5" x14ac:dyDescent="0.35"/>
  <cols>
    <col min="1" max="1" width="10.453125" customWidth="1"/>
    <col min="2" max="2" width="11.453125" customWidth="1"/>
    <col min="3" max="3" width="19.453125" customWidth="1"/>
    <col min="8" max="8" width="17.54296875" customWidth="1"/>
    <col min="9" max="9" width="18.7265625" customWidth="1"/>
    <col min="10" max="10" width="12.81640625" customWidth="1"/>
    <col min="11" max="11" width="15.81640625" customWidth="1"/>
  </cols>
  <sheetData>
    <row r="1" spans="1:11" s="200" customFormat="1" x14ac:dyDescent="0.35"/>
    <row r="2" spans="1:11" s="200" customFormat="1" ht="24.5" x14ac:dyDescent="0.35">
      <c r="A2" s="318" t="s">
        <v>500</v>
      </c>
      <c r="B2" s="319"/>
      <c r="C2" s="319"/>
      <c r="D2" s="319"/>
      <c r="E2" s="319"/>
      <c r="F2" s="320"/>
    </row>
    <row r="3" spans="1:11" s="200" customFormat="1" ht="18.649999999999999" customHeight="1" x14ac:dyDescent="0.35">
      <c r="A3" s="346" t="s">
        <v>501</v>
      </c>
      <c r="B3" s="347"/>
      <c r="C3" s="347"/>
      <c r="D3" s="347"/>
      <c r="E3" s="347"/>
      <c r="F3" s="348"/>
      <c r="G3" s="207"/>
      <c r="H3" s="207"/>
      <c r="I3" s="207"/>
      <c r="J3" s="207"/>
      <c r="K3" s="207"/>
    </row>
    <row r="4" spans="1:11" s="200" customFormat="1" x14ac:dyDescent="0.35"/>
    <row r="5" spans="1:11" x14ac:dyDescent="0.35">
      <c r="A5" s="165" t="s">
        <v>344</v>
      </c>
      <c r="B5" s="166" t="s">
        <v>351</v>
      </c>
      <c r="C5" s="166" t="s">
        <v>345</v>
      </c>
      <c r="D5" s="166" t="s">
        <v>346</v>
      </c>
      <c r="E5" s="166" t="s">
        <v>354</v>
      </c>
      <c r="F5" s="166" t="s">
        <v>347</v>
      </c>
      <c r="G5" s="166" t="s">
        <v>353</v>
      </c>
      <c r="H5" s="166" t="s">
        <v>348</v>
      </c>
      <c r="I5" s="166" t="s">
        <v>349</v>
      </c>
      <c r="J5" s="166" t="s">
        <v>350</v>
      </c>
      <c r="K5" s="167" t="s">
        <v>355</v>
      </c>
    </row>
    <row r="6" spans="1:11" x14ac:dyDescent="0.35">
      <c r="A6" s="163"/>
      <c r="B6" s="164"/>
      <c r="C6" s="61"/>
      <c r="D6" s="164"/>
      <c r="E6" s="164"/>
      <c r="F6" s="164"/>
      <c r="G6" s="164"/>
      <c r="H6" s="168"/>
      <c r="I6" s="168"/>
      <c r="J6" s="164"/>
      <c r="K6" s="169"/>
    </row>
  </sheetData>
  <mergeCells count="2">
    <mergeCell ref="A2:F2"/>
    <mergeCell ref="A3:F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6D746-24C9-4F2F-8373-E70E09DD85D5}">
  <dimension ref="E2:Q54"/>
  <sheetViews>
    <sheetView showGridLines="0" topLeftCell="A25" workbookViewId="0">
      <selection activeCell="G54" sqref="G54"/>
    </sheetView>
  </sheetViews>
  <sheetFormatPr defaultRowHeight="14.5" x14ac:dyDescent="0.35"/>
  <cols>
    <col min="5" max="5" width="13.54296875" customWidth="1"/>
    <col min="6" max="6" width="31.54296875" bestFit="1" customWidth="1"/>
    <col min="7" max="7" width="17.26953125" style="19" customWidth="1"/>
    <col min="8" max="8" width="19" style="19" customWidth="1"/>
    <col min="9" max="9" width="30.453125" style="19" customWidth="1"/>
    <col min="16" max="16" width="12.26953125" bestFit="1" customWidth="1"/>
  </cols>
  <sheetData>
    <row r="2" spans="5:17" x14ac:dyDescent="0.35">
      <c r="E2" s="188"/>
      <c r="F2" s="189" t="s">
        <v>398</v>
      </c>
      <c r="G2" s="189" t="s">
        <v>399</v>
      </c>
      <c r="H2" s="189" t="s">
        <v>400</v>
      </c>
      <c r="I2" s="189" t="s">
        <v>401</v>
      </c>
    </row>
    <row r="3" spans="5:17" x14ac:dyDescent="0.35">
      <c r="E3" s="188" t="s">
        <v>386</v>
      </c>
      <c r="F3" s="190">
        <v>44106</v>
      </c>
      <c r="G3" s="191">
        <v>3140</v>
      </c>
      <c r="H3" s="191"/>
      <c r="I3" s="191"/>
    </row>
    <row r="4" spans="5:17" x14ac:dyDescent="0.35">
      <c r="E4" s="188" t="s">
        <v>387</v>
      </c>
      <c r="F4" s="190">
        <f>F3+7</f>
        <v>44113</v>
      </c>
      <c r="G4" s="191">
        <f>2650+200</f>
        <v>2850</v>
      </c>
      <c r="H4" s="191">
        <v>500</v>
      </c>
      <c r="I4" s="191"/>
    </row>
    <row r="5" spans="5:17" x14ac:dyDescent="0.35">
      <c r="E5" s="188" t="s">
        <v>388</v>
      </c>
      <c r="F5" s="190">
        <f t="shared" ref="F5:F19" si="0">F4+7</f>
        <v>44120</v>
      </c>
      <c r="G5" s="191">
        <f>4380+970+1095+840+180</f>
        <v>7465</v>
      </c>
      <c r="H5" s="191">
        <f>2600+150</f>
        <v>2750</v>
      </c>
      <c r="I5" s="191"/>
    </row>
    <row r="6" spans="5:17" x14ac:dyDescent="0.35">
      <c r="E6" s="188" t="s">
        <v>389</v>
      </c>
      <c r="F6" s="190">
        <f t="shared" si="0"/>
        <v>44127</v>
      </c>
      <c r="G6" s="191">
        <v>4000</v>
      </c>
      <c r="H6" s="191"/>
      <c r="I6" s="191"/>
    </row>
    <row r="7" spans="5:17" x14ac:dyDescent="0.35">
      <c r="E7" s="188" t="s">
        <v>390</v>
      </c>
      <c r="F7" s="190">
        <f t="shared" si="0"/>
        <v>44134</v>
      </c>
      <c r="G7" s="191">
        <v>3000</v>
      </c>
      <c r="H7" s="191">
        <v>1500</v>
      </c>
      <c r="I7" s="191"/>
    </row>
    <row r="8" spans="5:17" x14ac:dyDescent="0.35">
      <c r="E8" s="188" t="s">
        <v>391</v>
      </c>
      <c r="F8" s="190">
        <f t="shared" si="0"/>
        <v>44141</v>
      </c>
      <c r="G8" s="191">
        <v>6000</v>
      </c>
      <c r="H8" s="191"/>
      <c r="I8" s="191"/>
    </row>
    <row r="9" spans="5:17" x14ac:dyDescent="0.35">
      <c r="E9" s="188" t="s">
        <v>392</v>
      </c>
      <c r="F9" s="190">
        <f t="shared" si="0"/>
        <v>44148</v>
      </c>
      <c r="G9" s="191">
        <v>12808.81</v>
      </c>
      <c r="H9" s="191"/>
      <c r="I9" s="191"/>
    </row>
    <row r="10" spans="5:17" x14ac:dyDescent="0.35">
      <c r="E10" s="188" t="s">
        <v>393</v>
      </c>
      <c r="F10" s="190">
        <f t="shared" si="0"/>
        <v>44155</v>
      </c>
      <c r="G10" s="191">
        <v>4587.74</v>
      </c>
      <c r="H10" s="191"/>
      <c r="I10" s="191"/>
    </row>
    <row r="11" spans="5:17" x14ac:dyDescent="0.35">
      <c r="E11" s="188" t="s">
        <v>394</v>
      </c>
      <c r="F11" s="190">
        <f t="shared" si="0"/>
        <v>44162</v>
      </c>
      <c r="G11" s="191">
        <v>10878.36</v>
      </c>
      <c r="H11" s="191"/>
      <c r="I11" s="191"/>
    </row>
    <row r="12" spans="5:17" x14ac:dyDescent="0.35">
      <c r="E12" s="188" t="s">
        <v>395</v>
      </c>
      <c r="F12" s="190">
        <f t="shared" si="0"/>
        <v>44169</v>
      </c>
      <c r="G12" s="191">
        <v>12292.24</v>
      </c>
      <c r="H12" s="191"/>
      <c r="I12" s="191"/>
    </row>
    <row r="13" spans="5:17" x14ac:dyDescent="0.35">
      <c r="E13" s="188" t="s">
        <v>396</v>
      </c>
      <c r="F13" s="190">
        <f t="shared" si="0"/>
        <v>44176</v>
      </c>
      <c r="G13" s="191">
        <v>14845.52</v>
      </c>
      <c r="H13" s="191"/>
      <c r="I13" s="191"/>
      <c r="P13" t="s">
        <v>16</v>
      </c>
      <c r="Q13" t="s">
        <v>64</v>
      </c>
    </row>
    <row r="14" spans="5:17" x14ac:dyDescent="0.35">
      <c r="E14" s="188" t="s">
        <v>397</v>
      </c>
      <c r="F14" s="190">
        <f t="shared" si="0"/>
        <v>44183</v>
      </c>
      <c r="G14" s="191">
        <v>14600.35</v>
      </c>
      <c r="H14" s="191"/>
      <c r="I14" s="191"/>
      <c r="P14" t="s">
        <v>466</v>
      </c>
      <c r="Q14" t="s">
        <v>63</v>
      </c>
    </row>
    <row r="15" spans="5:17" x14ac:dyDescent="0.35">
      <c r="E15" s="188" t="s">
        <v>409</v>
      </c>
      <c r="F15" s="190">
        <f t="shared" si="0"/>
        <v>44190</v>
      </c>
      <c r="G15" s="350">
        <v>6189.37</v>
      </c>
      <c r="H15" s="191"/>
      <c r="I15" s="191"/>
      <c r="P15" t="s">
        <v>467</v>
      </c>
      <c r="Q15" t="s">
        <v>63</v>
      </c>
    </row>
    <row r="16" spans="5:17" x14ac:dyDescent="0.35">
      <c r="E16" s="188" t="s">
        <v>410</v>
      </c>
      <c r="F16" s="190">
        <f t="shared" si="0"/>
        <v>44197</v>
      </c>
      <c r="G16" s="351"/>
      <c r="H16" s="191"/>
      <c r="I16" s="191"/>
      <c r="P16" t="s">
        <v>468</v>
      </c>
      <c r="Q16" t="s">
        <v>64</v>
      </c>
    </row>
    <row r="17" spans="5:17" x14ac:dyDescent="0.35">
      <c r="E17" s="188" t="s">
        <v>411</v>
      </c>
      <c r="F17" s="190">
        <f t="shared" si="0"/>
        <v>44204</v>
      </c>
      <c r="G17" s="350">
        <v>10229.129999999999</v>
      </c>
      <c r="H17" s="191"/>
      <c r="I17" s="191"/>
      <c r="P17" t="s">
        <v>469</v>
      </c>
      <c r="Q17" t="s">
        <v>64</v>
      </c>
    </row>
    <row r="18" spans="5:17" x14ac:dyDescent="0.35">
      <c r="E18" s="188" t="s">
        <v>412</v>
      </c>
      <c r="F18" s="190">
        <f t="shared" si="0"/>
        <v>44211</v>
      </c>
      <c r="G18" s="351"/>
      <c r="H18" s="191"/>
      <c r="I18" s="191"/>
    </row>
    <row r="19" spans="5:17" x14ac:dyDescent="0.35">
      <c r="E19" s="188" t="s">
        <v>413</v>
      </c>
      <c r="F19" s="190">
        <f t="shared" si="0"/>
        <v>44218</v>
      </c>
      <c r="G19" s="191">
        <v>9641.06</v>
      </c>
      <c r="H19" s="191"/>
      <c r="I19" s="191"/>
    </row>
    <row r="20" spans="5:17" x14ac:dyDescent="0.35">
      <c r="E20" s="188" t="s">
        <v>430</v>
      </c>
      <c r="F20" s="190">
        <v>44238</v>
      </c>
      <c r="G20" s="191">
        <v>18964.419999999998</v>
      </c>
      <c r="H20" s="191"/>
      <c r="I20" s="191"/>
    </row>
    <row r="21" spans="5:17" x14ac:dyDescent="0.35">
      <c r="E21" s="188" t="s">
        <v>442</v>
      </c>
      <c r="F21" s="190">
        <v>44253</v>
      </c>
      <c r="G21" s="191">
        <v>11043</v>
      </c>
      <c r="H21" s="191"/>
      <c r="I21" s="191"/>
    </row>
    <row r="22" spans="5:17" x14ac:dyDescent="0.35">
      <c r="E22" s="188" t="s">
        <v>443</v>
      </c>
      <c r="F22" s="190">
        <v>44270</v>
      </c>
      <c r="G22" s="191">
        <v>15968.349999999999</v>
      </c>
      <c r="H22" s="191"/>
      <c r="I22" s="191"/>
    </row>
    <row r="23" spans="5:17" x14ac:dyDescent="0.35">
      <c r="E23" s="188" t="s">
        <v>446</v>
      </c>
      <c r="F23" s="190">
        <v>44279</v>
      </c>
      <c r="G23" s="191">
        <v>20198.740000000002</v>
      </c>
      <c r="H23" s="191"/>
      <c r="I23" s="191"/>
    </row>
    <row r="24" spans="5:17" x14ac:dyDescent="0.35">
      <c r="E24" s="188" t="s">
        <v>447</v>
      </c>
      <c r="F24" s="190">
        <v>44287</v>
      </c>
      <c r="G24" s="191">
        <v>9515.7999999999993</v>
      </c>
      <c r="H24" s="191"/>
      <c r="I24" s="191"/>
    </row>
    <row r="25" spans="5:17" x14ac:dyDescent="0.35">
      <c r="E25" s="188" t="s">
        <v>479</v>
      </c>
      <c r="F25" s="190">
        <v>44295</v>
      </c>
      <c r="G25" s="191">
        <v>8757.9</v>
      </c>
      <c r="H25" s="191"/>
      <c r="I25" s="191"/>
    </row>
    <row r="26" spans="5:17" x14ac:dyDescent="0.35">
      <c r="G26" s="194"/>
      <c r="H26" s="194"/>
      <c r="I26" s="194"/>
    </row>
    <row r="27" spans="5:17" x14ac:dyDescent="0.35">
      <c r="G27" s="187">
        <f>SUM(G3:G26)</f>
        <v>206975.78999999998</v>
      </c>
    </row>
    <row r="29" spans="5:17" x14ac:dyDescent="0.35">
      <c r="F29" s="192" t="s">
        <v>404</v>
      </c>
    </row>
    <row r="30" spans="5:17" x14ac:dyDescent="0.35">
      <c r="E30" s="192" t="s">
        <v>402</v>
      </c>
      <c r="F30" s="186">
        <v>38500</v>
      </c>
      <c r="H30" t="s">
        <v>405</v>
      </c>
      <c r="I30" s="186">
        <f>SUM(H4:H7)</f>
        <v>4750</v>
      </c>
    </row>
    <row r="31" spans="5:17" x14ac:dyDescent="0.35">
      <c r="E31" s="192" t="s">
        <v>403</v>
      </c>
      <c r="F31" s="186">
        <v>108431.43</v>
      </c>
      <c r="H31" s="349" t="s">
        <v>406</v>
      </c>
      <c r="I31" s="349"/>
    </row>
    <row r="32" spans="5:17" x14ac:dyDescent="0.35">
      <c r="F32" s="193">
        <f>SUM(F30:F31)</f>
        <v>146931.43</v>
      </c>
    </row>
    <row r="34" spans="5:9" x14ac:dyDescent="0.35">
      <c r="E34" t="s">
        <v>384</v>
      </c>
      <c r="F34" s="187">
        <f>SUM(G3:G26)</f>
        <v>206975.78999999998</v>
      </c>
      <c r="G34" s="187"/>
    </row>
    <row r="35" spans="5:9" x14ac:dyDescent="0.35">
      <c r="G35" s="187"/>
    </row>
    <row r="40" spans="5:9" x14ac:dyDescent="0.35">
      <c r="F40" t="s">
        <v>450</v>
      </c>
      <c r="G40" s="19">
        <v>55</v>
      </c>
    </row>
    <row r="41" spans="5:9" x14ac:dyDescent="0.35">
      <c r="F41" t="s">
        <v>451</v>
      </c>
      <c r="G41" s="19">
        <v>10</v>
      </c>
    </row>
    <row r="42" spans="5:9" x14ac:dyDescent="0.35">
      <c r="F42" t="s">
        <v>452</v>
      </c>
      <c r="G42" s="196">
        <v>14</v>
      </c>
    </row>
    <row r="43" spans="5:9" x14ac:dyDescent="0.35">
      <c r="F43" t="s">
        <v>23</v>
      </c>
      <c r="G43" s="196">
        <v>13</v>
      </c>
    </row>
    <row r="44" spans="5:9" x14ac:dyDescent="0.35">
      <c r="F44" t="s">
        <v>453</v>
      </c>
      <c r="G44" s="19">
        <v>10</v>
      </c>
    </row>
    <row r="45" spans="5:9" x14ac:dyDescent="0.35">
      <c r="F45" t="s">
        <v>454</v>
      </c>
      <c r="G45" s="19">
        <v>11.5</v>
      </c>
    </row>
    <row r="46" spans="5:9" x14ac:dyDescent="0.35">
      <c r="F46" t="s">
        <v>455</v>
      </c>
      <c r="G46" s="196">
        <v>3</v>
      </c>
    </row>
    <row r="47" spans="5:9" x14ac:dyDescent="0.35">
      <c r="F47" t="s">
        <v>462</v>
      </c>
      <c r="G47" s="196">
        <v>1.5</v>
      </c>
      <c r="H47" s="195"/>
      <c r="I47" s="195"/>
    </row>
    <row r="48" spans="5:9" x14ac:dyDescent="0.35">
      <c r="F48" t="s">
        <v>456</v>
      </c>
      <c r="G48" s="19">
        <v>3</v>
      </c>
    </row>
    <row r="49" spans="6:9" x14ac:dyDescent="0.35">
      <c r="F49" t="s">
        <v>457</v>
      </c>
      <c r="G49" s="19">
        <v>3</v>
      </c>
    </row>
    <row r="50" spans="6:9" x14ac:dyDescent="0.35">
      <c r="F50" t="s">
        <v>460</v>
      </c>
      <c r="G50" s="19">
        <v>2</v>
      </c>
    </row>
    <row r="51" spans="6:9" x14ac:dyDescent="0.35">
      <c r="F51" t="s">
        <v>459</v>
      </c>
      <c r="G51" s="195">
        <v>3</v>
      </c>
    </row>
    <row r="52" spans="6:9" x14ac:dyDescent="0.35">
      <c r="F52" t="s">
        <v>461</v>
      </c>
      <c r="G52" s="195">
        <v>4</v>
      </c>
      <c r="H52" s="195"/>
      <c r="I52" s="195"/>
    </row>
    <row r="53" spans="6:9" x14ac:dyDescent="0.35">
      <c r="H53" s="195"/>
      <c r="I53" s="195"/>
    </row>
    <row r="54" spans="6:9" x14ac:dyDescent="0.35">
      <c r="F54" t="s">
        <v>458</v>
      </c>
      <c r="G54" s="19">
        <f>SUM(G40:G52)</f>
        <v>133</v>
      </c>
      <c r="H54" s="195"/>
      <c r="I54" s="195"/>
    </row>
  </sheetData>
  <mergeCells count="3">
    <mergeCell ref="H31:I31"/>
    <mergeCell ref="G15:G16"/>
    <mergeCell ref="G17:G18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6182F-5235-4D55-BCBC-138DF1CF1006}">
  <sheetPr codeName="Planilha9">
    <tabColor theme="1"/>
  </sheetPr>
  <dimension ref="A1:AA85"/>
  <sheetViews>
    <sheetView showGridLines="0" workbookViewId="0">
      <selection activeCell="Y40" sqref="Y40"/>
    </sheetView>
  </sheetViews>
  <sheetFormatPr defaultRowHeight="14.5" x14ac:dyDescent="0.35"/>
  <cols>
    <col min="1" max="1" width="10.1796875" bestFit="1" customWidth="1"/>
    <col min="2" max="2" width="14" customWidth="1"/>
    <col min="3" max="3" width="16" bestFit="1" customWidth="1"/>
    <col min="4" max="4" width="16.453125" bestFit="1" customWidth="1"/>
    <col min="5" max="5" width="12.54296875" customWidth="1"/>
    <col min="6" max="6" width="14.54296875" bestFit="1" customWidth="1"/>
    <col min="7" max="7" width="15.81640625" bestFit="1" customWidth="1"/>
    <col min="8" max="8" width="12.453125" bestFit="1" customWidth="1"/>
    <col min="9" max="9" width="13.26953125" bestFit="1" customWidth="1"/>
    <col min="11" max="11" width="16.7265625" bestFit="1" customWidth="1"/>
    <col min="13" max="13" width="12.7265625" bestFit="1" customWidth="1"/>
    <col min="15" max="15" width="13" bestFit="1" customWidth="1"/>
    <col min="17" max="17" width="17.54296875" bestFit="1" customWidth="1"/>
    <col min="18" max="18" width="10.453125" bestFit="1" customWidth="1"/>
    <col min="20" max="20" width="14.81640625" customWidth="1"/>
    <col min="21" max="21" width="13.81640625" customWidth="1"/>
    <col min="27" max="27" width="8.81640625" customWidth="1"/>
  </cols>
  <sheetData>
    <row r="1" spans="1:27" x14ac:dyDescent="0.35">
      <c r="A1" t="s">
        <v>90</v>
      </c>
      <c r="B1" s="1" t="s">
        <v>34</v>
      </c>
      <c r="C1" s="1" t="s">
        <v>8</v>
      </c>
      <c r="D1" s="1" t="s">
        <v>10</v>
      </c>
      <c r="E1" s="1" t="s">
        <v>13</v>
      </c>
      <c r="F1" s="1" t="s">
        <v>14</v>
      </c>
      <c r="G1" s="1" t="s">
        <v>49</v>
      </c>
      <c r="H1" s="1" t="s">
        <v>11</v>
      </c>
      <c r="I1" s="1" t="s">
        <v>12</v>
      </c>
      <c r="K1" s="10" t="s">
        <v>6</v>
      </c>
      <c r="M1" s="15" t="s">
        <v>52</v>
      </c>
      <c r="O1" s="15" t="s">
        <v>104</v>
      </c>
      <c r="Q1" s="15" t="s">
        <v>91</v>
      </c>
      <c r="R1" s="15" t="s">
        <v>108</v>
      </c>
      <c r="T1" s="15" t="s">
        <v>149</v>
      </c>
      <c r="U1" s="15" t="s">
        <v>162</v>
      </c>
      <c r="W1" s="15" t="s">
        <v>303</v>
      </c>
      <c r="X1" s="144" t="s">
        <v>320</v>
      </c>
      <c r="Y1" s="15" t="s">
        <v>4</v>
      </c>
      <c r="AA1" s="15" t="s">
        <v>326</v>
      </c>
    </row>
    <row r="2" spans="1:27" x14ac:dyDescent="0.35">
      <c r="B2" s="53" t="s">
        <v>15</v>
      </c>
      <c r="C2" s="6" t="s">
        <v>88</v>
      </c>
      <c r="D2" s="4" t="s">
        <v>9</v>
      </c>
      <c r="E2" s="13" t="s">
        <v>16</v>
      </c>
      <c r="F2" s="8" t="s">
        <v>17</v>
      </c>
      <c r="G2" s="6" t="s">
        <v>48</v>
      </c>
      <c r="H2" s="7" t="s">
        <v>18</v>
      </c>
      <c r="I2" s="5" t="s">
        <v>178</v>
      </c>
      <c r="K2" s="11" t="s">
        <v>43</v>
      </c>
      <c r="M2" s="11" t="s">
        <v>53</v>
      </c>
      <c r="O2" s="11" t="s">
        <v>59</v>
      </c>
      <c r="Q2" s="14" t="s">
        <v>229</v>
      </c>
      <c r="R2" s="14" t="s">
        <v>74</v>
      </c>
      <c r="T2" s="51">
        <v>43831</v>
      </c>
      <c r="U2" s="52" t="s">
        <v>160</v>
      </c>
      <c r="W2" s="11" t="s">
        <v>222</v>
      </c>
      <c r="Y2" s="11" t="s">
        <v>56</v>
      </c>
      <c r="AA2" s="13" t="s">
        <v>327</v>
      </c>
    </row>
    <row r="3" spans="1:27" x14ac:dyDescent="0.35">
      <c r="B3" s="54" t="s">
        <v>19</v>
      </c>
      <c r="C3" s="6" t="s">
        <v>42</v>
      </c>
      <c r="D3" s="54" t="s">
        <v>177</v>
      </c>
      <c r="E3" s="14" t="s">
        <v>20</v>
      </c>
      <c r="F3" s="9" t="s">
        <v>21</v>
      </c>
      <c r="G3" s="6" t="s">
        <v>197</v>
      </c>
      <c r="H3" s="5" t="s">
        <v>28</v>
      </c>
      <c r="I3" s="6" t="s">
        <v>22</v>
      </c>
      <c r="K3" s="11" t="s">
        <v>44</v>
      </c>
      <c r="M3" s="11"/>
      <c r="O3" s="11" t="s">
        <v>304</v>
      </c>
      <c r="Q3" s="14" t="s">
        <v>228</v>
      </c>
      <c r="R3" s="14" t="s">
        <v>74</v>
      </c>
      <c r="T3" s="51">
        <v>43886</v>
      </c>
      <c r="U3" s="52" t="s">
        <v>150</v>
      </c>
      <c r="W3" s="11" t="s">
        <v>64</v>
      </c>
      <c r="Y3" s="11" t="s">
        <v>89</v>
      </c>
    </row>
    <row r="4" spans="1:27" x14ac:dyDescent="0.35">
      <c r="B4" s="54" t="s">
        <v>23</v>
      </c>
      <c r="C4" s="6" t="s">
        <v>196</v>
      </c>
      <c r="D4" s="54" t="s">
        <v>219</v>
      </c>
      <c r="E4" s="14" t="s">
        <v>30</v>
      </c>
      <c r="F4" s="5" t="s">
        <v>40</v>
      </c>
      <c r="G4" s="6" t="s">
        <v>50</v>
      </c>
      <c r="H4" s="5" t="s">
        <v>35</v>
      </c>
      <c r="I4" s="6" t="s">
        <v>195</v>
      </c>
      <c r="K4" s="11" t="s">
        <v>45</v>
      </c>
      <c r="O4" s="11" t="s">
        <v>305</v>
      </c>
      <c r="Q4" s="14" t="s">
        <v>62</v>
      </c>
      <c r="R4" s="14" t="s">
        <v>62</v>
      </c>
      <c r="T4" s="51">
        <v>43896</v>
      </c>
      <c r="U4" s="52" t="s">
        <v>153</v>
      </c>
      <c r="W4" s="11" t="s">
        <v>65</v>
      </c>
      <c r="Y4" s="11" t="s">
        <v>62</v>
      </c>
    </row>
    <row r="5" spans="1:27" x14ac:dyDescent="0.35">
      <c r="B5" s="55" t="s">
        <v>26</v>
      </c>
      <c r="D5" s="2"/>
      <c r="E5" s="14" t="s">
        <v>107</v>
      </c>
      <c r="F5" s="5" t="s">
        <v>176</v>
      </c>
      <c r="H5" s="5" t="s">
        <v>39</v>
      </c>
      <c r="I5" s="6" t="s">
        <v>41</v>
      </c>
      <c r="K5" s="11" t="s">
        <v>46</v>
      </c>
      <c r="Q5" s="14" t="s">
        <v>94</v>
      </c>
      <c r="R5" s="14" t="s">
        <v>74</v>
      </c>
      <c r="T5" s="51">
        <v>43931</v>
      </c>
      <c r="U5" s="52" t="s">
        <v>152</v>
      </c>
      <c r="W5" s="11" t="s">
        <v>63</v>
      </c>
    </row>
    <row r="6" spans="1:27" x14ac:dyDescent="0.35">
      <c r="C6" s="2"/>
      <c r="D6" s="2"/>
      <c r="E6" s="14" t="s">
        <v>29</v>
      </c>
      <c r="F6" s="5" t="s">
        <v>218</v>
      </c>
      <c r="H6" s="5" t="s">
        <v>37</v>
      </c>
      <c r="I6" s="6" t="s">
        <v>55</v>
      </c>
      <c r="K6" s="11" t="s">
        <v>105</v>
      </c>
      <c r="Q6" s="14" t="s">
        <v>92</v>
      </c>
      <c r="R6" s="14" t="s">
        <v>109</v>
      </c>
      <c r="T6" s="51">
        <v>43942</v>
      </c>
      <c r="U6" s="52" t="s">
        <v>151</v>
      </c>
      <c r="W6" s="11" t="s">
        <v>304</v>
      </c>
    </row>
    <row r="7" spans="1:27" x14ac:dyDescent="0.35">
      <c r="C7" s="2"/>
      <c r="D7" s="2"/>
      <c r="F7" s="5" t="s">
        <v>24</v>
      </c>
      <c r="G7" s="2"/>
      <c r="H7" s="5" t="s">
        <v>38</v>
      </c>
      <c r="I7" s="89"/>
      <c r="K7" s="11" t="s">
        <v>47</v>
      </c>
      <c r="Q7" s="14" t="s">
        <v>93</v>
      </c>
      <c r="R7" s="14" t="s">
        <v>109</v>
      </c>
      <c r="T7" s="51">
        <v>43952</v>
      </c>
      <c r="U7" s="52" t="s">
        <v>154</v>
      </c>
      <c r="W7" s="11" t="s">
        <v>305</v>
      </c>
    </row>
    <row r="8" spans="1:27" x14ac:dyDescent="0.35">
      <c r="B8" s="2"/>
      <c r="C8" s="2"/>
      <c r="D8" s="2"/>
      <c r="E8" s="3"/>
      <c r="F8" s="5" t="s">
        <v>27</v>
      </c>
      <c r="G8" s="2"/>
      <c r="H8" s="5" t="s">
        <v>36</v>
      </c>
      <c r="I8" s="90"/>
      <c r="K8" s="143"/>
      <c r="Q8" s="14" t="s">
        <v>230</v>
      </c>
      <c r="R8" s="14" t="s">
        <v>109</v>
      </c>
      <c r="T8" s="51">
        <v>44006</v>
      </c>
      <c r="U8" s="52" t="s">
        <v>155</v>
      </c>
    </row>
    <row r="9" spans="1:27" x14ac:dyDescent="0.35">
      <c r="B9" s="2"/>
      <c r="C9" s="2"/>
      <c r="D9" s="2"/>
      <c r="E9" s="3"/>
      <c r="F9" s="2"/>
      <c r="G9" s="2"/>
      <c r="H9" s="5" t="s">
        <v>72</v>
      </c>
      <c r="I9" s="90"/>
      <c r="M9" s="15" t="s">
        <v>304</v>
      </c>
      <c r="O9" s="15" t="s">
        <v>305</v>
      </c>
      <c r="Q9" s="14" t="s">
        <v>95</v>
      </c>
      <c r="R9" s="14" t="s">
        <v>109</v>
      </c>
      <c r="T9" s="51">
        <v>44081</v>
      </c>
      <c r="U9" s="52" t="s">
        <v>156</v>
      </c>
    </row>
    <row r="10" spans="1:27" x14ac:dyDescent="0.35">
      <c r="B10" s="2"/>
      <c r="C10" s="2"/>
      <c r="D10" s="2"/>
      <c r="E10" s="3"/>
      <c r="F10" s="2"/>
      <c r="G10" s="2"/>
      <c r="H10" s="5" t="s">
        <v>32</v>
      </c>
      <c r="I10" s="2"/>
      <c r="M10" s="13"/>
      <c r="O10" s="13"/>
      <c r="Q10" s="14" t="s">
        <v>223</v>
      </c>
      <c r="R10" s="14" t="s">
        <v>109</v>
      </c>
      <c r="T10" s="51">
        <v>44116</v>
      </c>
      <c r="U10" s="52" t="s">
        <v>157</v>
      </c>
    </row>
    <row r="11" spans="1:27" x14ac:dyDescent="0.35">
      <c r="B11" s="2"/>
      <c r="C11" s="2"/>
      <c r="D11" s="2"/>
      <c r="E11" s="2"/>
      <c r="F11" s="12"/>
      <c r="G11" s="2"/>
      <c r="H11" s="5" t="s">
        <v>25</v>
      </c>
      <c r="I11" s="2"/>
      <c r="Q11" s="14" t="s">
        <v>180</v>
      </c>
      <c r="R11" s="14" t="s">
        <v>109</v>
      </c>
      <c r="T11" s="51">
        <v>44137</v>
      </c>
      <c r="U11" s="52" t="s">
        <v>158</v>
      </c>
    </row>
    <row r="12" spans="1:27" x14ac:dyDescent="0.35">
      <c r="B12" s="2"/>
      <c r="C12" s="2"/>
      <c r="D12" s="2"/>
      <c r="E12" s="2"/>
      <c r="F12" s="12"/>
      <c r="G12" s="2"/>
      <c r="H12" s="5" t="s">
        <v>31</v>
      </c>
      <c r="I12" s="2"/>
      <c r="Q12" s="14" t="s">
        <v>179</v>
      </c>
      <c r="R12" s="14" t="s">
        <v>109</v>
      </c>
      <c r="T12" s="51">
        <v>44150</v>
      </c>
      <c r="U12" s="52" t="s">
        <v>161</v>
      </c>
    </row>
    <row r="13" spans="1:27" x14ac:dyDescent="0.35">
      <c r="B13" s="2"/>
      <c r="C13" s="2"/>
      <c r="D13" s="2"/>
      <c r="E13" s="2"/>
      <c r="F13" s="2"/>
      <c r="G13" s="2"/>
      <c r="H13" s="98"/>
      <c r="I13" s="2"/>
      <c r="T13" s="51">
        <v>44160</v>
      </c>
      <c r="U13" s="52" t="s">
        <v>159</v>
      </c>
    </row>
    <row r="14" spans="1:27" x14ac:dyDescent="0.35">
      <c r="T14" s="51">
        <v>44197</v>
      </c>
      <c r="U14" s="52" t="s">
        <v>160</v>
      </c>
    </row>
    <row r="15" spans="1:27" x14ac:dyDescent="0.35">
      <c r="T15" s="51">
        <v>44243</v>
      </c>
      <c r="U15" s="52" t="s">
        <v>150</v>
      </c>
    </row>
    <row r="16" spans="1:27" x14ac:dyDescent="0.35">
      <c r="T16" s="51">
        <v>43896</v>
      </c>
      <c r="U16" s="52" t="s">
        <v>153</v>
      </c>
    </row>
    <row r="17" spans="20:21" x14ac:dyDescent="0.35">
      <c r="T17" s="51">
        <v>43923</v>
      </c>
      <c r="U17" s="52" t="s">
        <v>152</v>
      </c>
    </row>
    <row r="18" spans="20:21" x14ac:dyDescent="0.35">
      <c r="T18" s="51">
        <v>44307</v>
      </c>
      <c r="U18" s="52" t="s">
        <v>151</v>
      </c>
    </row>
    <row r="19" spans="20:21" x14ac:dyDescent="0.35">
      <c r="T19" s="51">
        <v>44317</v>
      </c>
      <c r="U19" s="52" t="s">
        <v>154</v>
      </c>
    </row>
    <row r="20" spans="20:21" x14ac:dyDescent="0.35">
      <c r="T20" s="51">
        <v>44371</v>
      </c>
      <c r="U20" s="52" t="s">
        <v>155</v>
      </c>
    </row>
    <row r="21" spans="20:21" x14ac:dyDescent="0.35">
      <c r="T21" s="51">
        <v>44446</v>
      </c>
      <c r="U21" s="52" t="s">
        <v>156</v>
      </c>
    </row>
    <row r="22" spans="20:21" x14ac:dyDescent="0.35">
      <c r="T22" s="51">
        <v>44481</v>
      </c>
      <c r="U22" s="52" t="s">
        <v>157</v>
      </c>
    </row>
    <row r="23" spans="20:21" x14ac:dyDescent="0.35">
      <c r="T23" s="51">
        <v>44502</v>
      </c>
      <c r="U23" s="52" t="s">
        <v>158</v>
      </c>
    </row>
    <row r="24" spans="20:21" x14ac:dyDescent="0.35">
      <c r="T24" s="51">
        <v>44515</v>
      </c>
      <c r="U24" s="52" t="s">
        <v>161</v>
      </c>
    </row>
    <row r="25" spans="20:21" x14ac:dyDescent="0.35">
      <c r="T25" s="51">
        <v>44555</v>
      </c>
      <c r="U25" s="52" t="s">
        <v>159</v>
      </c>
    </row>
    <row r="26" spans="20:21" x14ac:dyDescent="0.35">
      <c r="T26" s="51">
        <v>44562</v>
      </c>
      <c r="U26" s="52" t="s">
        <v>160</v>
      </c>
    </row>
    <row r="27" spans="20:21" x14ac:dyDescent="0.35">
      <c r="T27" s="51">
        <v>44621</v>
      </c>
      <c r="U27" s="52" t="s">
        <v>150</v>
      </c>
    </row>
    <row r="28" spans="20:21" x14ac:dyDescent="0.35">
      <c r="T28" s="51">
        <v>44626</v>
      </c>
      <c r="U28" s="52" t="s">
        <v>153</v>
      </c>
    </row>
    <row r="29" spans="20:21" x14ac:dyDescent="0.35">
      <c r="T29" s="51">
        <v>44617</v>
      </c>
      <c r="U29" s="52" t="s">
        <v>152</v>
      </c>
    </row>
    <row r="30" spans="20:21" x14ac:dyDescent="0.35">
      <c r="T30" s="51">
        <v>44672</v>
      </c>
      <c r="U30" s="52" t="s">
        <v>151</v>
      </c>
    </row>
    <row r="31" spans="20:21" x14ac:dyDescent="0.35">
      <c r="T31" s="51">
        <v>44682</v>
      </c>
      <c r="U31" s="52" t="s">
        <v>154</v>
      </c>
    </row>
    <row r="32" spans="20:21" x14ac:dyDescent="0.35">
      <c r="T32" s="51">
        <v>44736</v>
      </c>
      <c r="U32" s="52" t="s">
        <v>155</v>
      </c>
    </row>
    <row r="33" spans="20:21" x14ac:dyDescent="0.35">
      <c r="T33" s="51">
        <v>44811</v>
      </c>
      <c r="U33" s="52" t="s">
        <v>156</v>
      </c>
    </row>
    <row r="34" spans="20:21" x14ac:dyDescent="0.35">
      <c r="T34" s="51">
        <v>44846</v>
      </c>
      <c r="U34" s="52" t="s">
        <v>157</v>
      </c>
    </row>
    <row r="35" spans="20:21" x14ac:dyDescent="0.35">
      <c r="T35" s="51">
        <v>44867</v>
      </c>
      <c r="U35" s="52" t="s">
        <v>158</v>
      </c>
    </row>
    <row r="36" spans="20:21" x14ac:dyDescent="0.35">
      <c r="T36" s="51">
        <v>44880</v>
      </c>
      <c r="U36" s="52" t="s">
        <v>161</v>
      </c>
    </row>
    <row r="37" spans="20:21" x14ac:dyDescent="0.35">
      <c r="T37" s="51">
        <v>44920</v>
      </c>
      <c r="U37" s="52" t="s">
        <v>159</v>
      </c>
    </row>
    <row r="38" spans="20:21" x14ac:dyDescent="0.35">
      <c r="T38" s="51">
        <v>44927</v>
      </c>
      <c r="U38" s="52" t="s">
        <v>160</v>
      </c>
    </row>
    <row r="39" spans="20:21" x14ac:dyDescent="0.35">
      <c r="T39" s="51">
        <v>44978</v>
      </c>
      <c r="U39" s="52" t="s">
        <v>150</v>
      </c>
    </row>
    <row r="40" spans="20:21" x14ac:dyDescent="0.35">
      <c r="T40" s="51">
        <v>44991</v>
      </c>
      <c r="U40" s="52" t="s">
        <v>153</v>
      </c>
    </row>
    <row r="41" spans="20:21" x14ac:dyDescent="0.35">
      <c r="T41" s="51">
        <v>45023</v>
      </c>
      <c r="U41" s="52" t="s">
        <v>152</v>
      </c>
    </row>
    <row r="42" spans="20:21" x14ac:dyDescent="0.35">
      <c r="T42" s="51">
        <v>45037</v>
      </c>
      <c r="U42" s="52" t="s">
        <v>151</v>
      </c>
    </row>
    <row r="43" spans="20:21" x14ac:dyDescent="0.35">
      <c r="T43" s="51">
        <v>45047</v>
      </c>
      <c r="U43" s="52" t="s">
        <v>154</v>
      </c>
    </row>
    <row r="44" spans="20:21" x14ac:dyDescent="0.35">
      <c r="T44" s="51">
        <v>45101</v>
      </c>
      <c r="U44" s="52" t="s">
        <v>155</v>
      </c>
    </row>
    <row r="45" spans="20:21" x14ac:dyDescent="0.35">
      <c r="T45" s="51">
        <v>45176</v>
      </c>
      <c r="U45" s="52" t="s">
        <v>156</v>
      </c>
    </row>
    <row r="46" spans="20:21" x14ac:dyDescent="0.35">
      <c r="T46" s="51">
        <v>45211</v>
      </c>
      <c r="U46" s="52" t="s">
        <v>157</v>
      </c>
    </row>
    <row r="47" spans="20:21" x14ac:dyDescent="0.35">
      <c r="T47" s="51">
        <v>45232</v>
      </c>
      <c r="U47" s="52" t="s">
        <v>158</v>
      </c>
    </row>
    <row r="48" spans="20:21" x14ac:dyDescent="0.35">
      <c r="T48" s="51">
        <v>45245</v>
      </c>
      <c r="U48" s="52" t="s">
        <v>161</v>
      </c>
    </row>
    <row r="49" spans="20:21" x14ac:dyDescent="0.35">
      <c r="T49" s="51">
        <v>45285</v>
      </c>
      <c r="U49" s="52" t="s">
        <v>159</v>
      </c>
    </row>
    <row r="50" spans="20:21" x14ac:dyDescent="0.35">
      <c r="T50" s="51">
        <v>45292</v>
      </c>
      <c r="U50" s="52" t="s">
        <v>160</v>
      </c>
    </row>
    <row r="51" spans="20:21" x14ac:dyDescent="0.35">
      <c r="T51" s="51">
        <v>45335</v>
      </c>
      <c r="U51" s="52" t="s">
        <v>150</v>
      </c>
    </row>
    <row r="52" spans="20:21" x14ac:dyDescent="0.35">
      <c r="T52" s="51">
        <v>45357</v>
      </c>
      <c r="U52" s="52" t="s">
        <v>153</v>
      </c>
    </row>
    <row r="53" spans="20:21" x14ac:dyDescent="0.35">
      <c r="T53" s="51">
        <v>45380</v>
      </c>
      <c r="U53" s="52" t="s">
        <v>152</v>
      </c>
    </row>
    <row r="54" spans="20:21" x14ac:dyDescent="0.35">
      <c r="T54" s="51">
        <v>45403</v>
      </c>
      <c r="U54" s="52" t="s">
        <v>151</v>
      </c>
    </row>
    <row r="55" spans="20:21" x14ac:dyDescent="0.35">
      <c r="T55" s="51">
        <v>45413</v>
      </c>
      <c r="U55" s="52" t="s">
        <v>154</v>
      </c>
    </row>
    <row r="56" spans="20:21" x14ac:dyDescent="0.35">
      <c r="T56" s="51">
        <v>45467</v>
      </c>
      <c r="U56" s="52" t="s">
        <v>155</v>
      </c>
    </row>
    <row r="57" spans="20:21" x14ac:dyDescent="0.35">
      <c r="T57" s="51">
        <v>45542</v>
      </c>
      <c r="U57" s="52" t="s">
        <v>156</v>
      </c>
    </row>
    <row r="58" spans="20:21" x14ac:dyDescent="0.35">
      <c r="T58" s="51">
        <v>45577</v>
      </c>
      <c r="U58" s="52" t="s">
        <v>157</v>
      </c>
    </row>
    <row r="59" spans="20:21" x14ac:dyDescent="0.35">
      <c r="T59" s="51">
        <v>45598</v>
      </c>
      <c r="U59" s="52" t="s">
        <v>158</v>
      </c>
    </row>
    <row r="60" spans="20:21" x14ac:dyDescent="0.35">
      <c r="T60" s="51">
        <v>45611</v>
      </c>
      <c r="U60" s="52" t="s">
        <v>161</v>
      </c>
    </row>
    <row r="61" spans="20:21" x14ac:dyDescent="0.35">
      <c r="T61" s="51">
        <v>45651</v>
      </c>
      <c r="U61" s="52" t="s">
        <v>159</v>
      </c>
    </row>
    <row r="62" spans="20:21" x14ac:dyDescent="0.35">
      <c r="T62" s="51">
        <v>45658</v>
      </c>
      <c r="U62" s="52" t="s">
        <v>160</v>
      </c>
    </row>
    <row r="63" spans="20:21" x14ac:dyDescent="0.35">
      <c r="T63" s="51">
        <v>45720</v>
      </c>
      <c r="U63" s="52" t="s">
        <v>150</v>
      </c>
    </row>
    <row r="64" spans="20:21" x14ac:dyDescent="0.35">
      <c r="T64" s="51">
        <v>45722</v>
      </c>
      <c r="U64" s="52" t="s">
        <v>153</v>
      </c>
    </row>
    <row r="65" spans="20:21" x14ac:dyDescent="0.35">
      <c r="T65" s="51">
        <v>45758</v>
      </c>
      <c r="U65" s="52" t="s">
        <v>152</v>
      </c>
    </row>
    <row r="66" spans="20:21" x14ac:dyDescent="0.35">
      <c r="T66" s="51">
        <v>45768</v>
      </c>
      <c r="U66" s="52" t="s">
        <v>151</v>
      </c>
    </row>
    <row r="67" spans="20:21" x14ac:dyDescent="0.35">
      <c r="T67" s="51">
        <v>45778</v>
      </c>
      <c r="U67" s="52" t="s">
        <v>154</v>
      </c>
    </row>
    <row r="68" spans="20:21" x14ac:dyDescent="0.35">
      <c r="T68" s="51">
        <v>45832</v>
      </c>
      <c r="U68" s="52" t="s">
        <v>155</v>
      </c>
    </row>
    <row r="69" spans="20:21" x14ac:dyDescent="0.35">
      <c r="T69" s="51">
        <v>45907</v>
      </c>
      <c r="U69" s="52" t="s">
        <v>156</v>
      </c>
    </row>
    <row r="70" spans="20:21" x14ac:dyDescent="0.35">
      <c r="T70" s="51">
        <v>45942</v>
      </c>
      <c r="U70" s="52" t="s">
        <v>157</v>
      </c>
    </row>
    <row r="71" spans="20:21" x14ac:dyDescent="0.35">
      <c r="T71" s="51">
        <v>45963</v>
      </c>
      <c r="U71" s="52" t="s">
        <v>158</v>
      </c>
    </row>
    <row r="72" spans="20:21" x14ac:dyDescent="0.35">
      <c r="T72" s="51">
        <v>45976</v>
      </c>
      <c r="U72" s="52" t="s">
        <v>161</v>
      </c>
    </row>
    <row r="73" spans="20:21" x14ac:dyDescent="0.35">
      <c r="T73" s="51">
        <v>46016</v>
      </c>
      <c r="U73" s="52" t="s">
        <v>159</v>
      </c>
    </row>
    <row r="74" spans="20:21" x14ac:dyDescent="0.35">
      <c r="T74" s="51">
        <v>46023</v>
      </c>
      <c r="U74" s="52" t="s">
        <v>160</v>
      </c>
    </row>
    <row r="75" spans="20:21" x14ac:dyDescent="0.35">
      <c r="T75" s="51">
        <v>46070</v>
      </c>
      <c r="U75" s="52" t="s">
        <v>150</v>
      </c>
    </row>
    <row r="76" spans="20:21" x14ac:dyDescent="0.35">
      <c r="T76" s="51">
        <v>46087</v>
      </c>
      <c r="U76" s="52" t="s">
        <v>153</v>
      </c>
    </row>
    <row r="77" spans="20:21" x14ac:dyDescent="0.35">
      <c r="T77" s="51">
        <v>46115</v>
      </c>
      <c r="U77" s="52" t="s">
        <v>152</v>
      </c>
    </row>
    <row r="78" spans="20:21" x14ac:dyDescent="0.35">
      <c r="T78" s="51">
        <v>46133</v>
      </c>
      <c r="U78" s="52" t="s">
        <v>151</v>
      </c>
    </row>
    <row r="79" spans="20:21" x14ac:dyDescent="0.35">
      <c r="T79" s="51">
        <v>46143</v>
      </c>
      <c r="U79" s="52" t="s">
        <v>154</v>
      </c>
    </row>
    <row r="80" spans="20:21" x14ac:dyDescent="0.35">
      <c r="T80" s="51">
        <v>46197</v>
      </c>
      <c r="U80" s="52" t="s">
        <v>155</v>
      </c>
    </row>
    <row r="81" spans="20:21" x14ac:dyDescent="0.35">
      <c r="T81" s="51">
        <v>46272</v>
      </c>
      <c r="U81" s="52" t="s">
        <v>156</v>
      </c>
    </row>
    <row r="82" spans="20:21" x14ac:dyDescent="0.35">
      <c r="T82" s="51">
        <v>46307</v>
      </c>
      <c r="U82" s="52" t="s">
        <v>157</v>
      </c>
    </row>
    <row r="83" spans="20:21" x14ac:dyDescent="0.35">
      <c r="T83" s="51">
        <v>46328</v>
      </c>
      <c r="U83" s="52" t="s">
        <v>158</v>
      </c>
    </row>
    <row r="84" spans="20:21" x14ac:dyDescent="0.35">
      <c r="T84" s="51">
        <v>46341</v>
      </c>
      <c r="U84" s="52" t="s">
        <v>161</v>
      </c>
    </row>
    <row r="85" spans="20:21" x14ac:dyDescent="0.35">
      <c r="T85" s="51">
        <v>46381</v>
      </c>
      <c r="U85" s="52" t="s">
        <v>159</v>
      </c>
    </row>
  </sheetData>
  <sortState xmlns:xlrd2="http://schemas.microsoft.com/office/spreadsheetml/2017/richdata2" ref="I3:I6">
    <sortCondition ref="I6"/>
  </sortState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F62972-F8C9-40B2-91BB-FA2044AD7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30</vt:i4>
      </vt:variant>
    </vt:vector>
  </HeadingPairs>
  <TitlesOfParts>
    <vt:vector size="43" baseType="lpstr">
      <vt:lpstr>Dashboard</vt:lpstr>
      <vt:lpstr>DIN_mov</vt:lpstr>
      <vt:lpstr>Movimentação</vt:lpstr>
      <vt:lpstr>Orçamento</vt:lpstr>
      <vt:lpstr>Balanço</vt:lpstr>
      <vt:lpstr>Contratos</vt:lpstr>
      <vt:lpstr>Mapa Contratos</vt:lpstr>
      <vt:lpstr>Unidades</vt:lpstr>
      <vt:lpstr>Prazos</vt:lpstr>
      <vt:lpstr>Fornecedores</vt:lpstr>
      <vt:lpstr>RH</vt:lpstr>
      <vt:lpstr>Pagamentos Caio</vt:lpstr>
      <vt:lpstr>Listas</vt:lpstr>
      <vt:lpstr>aportador</vt:lpstr>
      <vt:lpstr>aporte</vt:lpstr>
      <vt:lpstr>aportes</vt:lpstr>
      <vt:lpstr>Dashboard!Area_de_impressao</vt:lpstr>
      <vt:lpstr>Movimentação!Area_de_impressao</vt:lpstr>
      <vt:lpstr>cancelar</vt:lpstr>
      <vt:lpstr>consumo</vt:lpstr>
      <vt:lpstr>despesa</vt:lpstr>
      <vt:lpstr>empréstimo</vt:lpstr>
      <vt:lpstr>Entrada</vt:lpstr>
      <vt:lpstr>financeiro</vt:lpstr>
      <vt:lpstr>fornecedor</vt:lpstr>
      <vt:lpstr>funcionário</vt:lpstr>
      <vt:lpstr>imobiliário</vt:lpstr>
      <vt:lpstr>impostos</vt:lpstr>
      <vt:lpstr>Investidor</vt:lpstr>
      <vt:lpstr>kitchen</vt:lpstr>
      <vt:lpstr>manutenção</vt:lpstr>
      <vt:lpstr>negócio</vt:lpstr>
      <vt:lpstr>Outros</vt:lpstr>
      <vt:lpstr>pagador</vt:lpstr>
      <vt:lpstr>pagamento</vt:lpstr>
      <vt:lpstr>receita</vt:lpstr>
      <vt:lpstr>receitas</vt:lpstr>
      <vt:lpstr>reforma</vt:lpstr>
      <vt:lpstr>rh</vt:lpstr>
      <vt:lpstr>serviços</vt:lpstr>
      <vt:lpstr>Sócio</vt:lpstr>
      <vt:lpstr>tipo_pagamento</vt:lpstr>
      <vt:lpstr>unidade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cp:lastPrinted>2021-05-02T16:35:22Z</cp:lastPrinted>
  <dcterms:created xsi:type="dcterms:W3CDTF">2020-08-12T16:55:58Z</dcterms:created>
  <dcterms:modified xsi:type="dcterms:W3CDTF">2021-06-16T00:23:42Z</dcterms:modified>
</cp:coreProperties>
</file>